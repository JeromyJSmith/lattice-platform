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Override PartName="/xl/media/image1.jpeg" ContentType="image/jpeg"/>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BUDGET" sheetId="2" r:id="rId6"/>
    <sheet name="VE" sheetId="3" r:id="rId7"/>
    <sheet name="SERVICES" sheetId="4" r:id="rId8"/>
    <sheet name="NOTES" sheetId="5" r:id="rId9"/>
  </sheets>
</workbook>
</file>

<file path=xl/comments1.xml><?xml version="1.0" encoding="utf-8"?>
<comments xmlns="http://schemas.openxmlformats.org/spreadsheetml/2006/main">
  <authors>
    <author>Marpa_brian</author>
  </authors>
  <commentList>
    <comment ref="D21" authorId="0">
      <text>
        <r>
          <rPr>
            <sz val="11"/>
            <color indexed="8"/>
            <rFont val="Helvetica Neue"/>
          </rPr>
          <t xml:space="preserve">Marpa_brian:
61 LF of 4’ tall w/ drains w/ capstones $15,755
</t>
        </r>
      </text>
    </comment>
    <comment ref="D29" authorId="0">
      <text>
        <r>
          <rPr>
            <sz val="11"/>
            <color indexed="8"/>
            <rFont val="Helvetica Neue"/>
          </rPr>
          <t xml:space="preserve">Marpa_brian:
HGL moss rock price at Mallett </t>
        </r>
      </text>
    </comment>
    <comment ref="D33" authorId="0">
      <text>
        <r>
          <rPr>
            <sz val="11"/>
            <color indexed="8"/>
            <rFont val="Helvetica Neue"/>
          </rPr>
          <t xml:space="preserve">Marpa_brian:
$380,000 / 525 SF </t>
        </r>
      </text>
    </comment>
    <comment ref="D37" authorId="0">
      <text>
        <r>
          <rPr>
            <sz val="11"/>
            <color indexed="8"/>
            <rFont val="Helvetica Neue"/>
          </rPr>
          <t xml:space="preserve">Marpa_brian:
</t>
        </r>
      </text>
    </comment>
    <comment ref="D41" authorId="0">
      <text>
        <r>
          <rPr>
            <sz val="11"/>
            <color indexed="8"/>
            <rFont val="Helvetica Neue"/>
          </rPr>
          <t>Marpa_brian:
VT CM05 Reed 2024-1145 x2</t>
        </r>
      </text>
    </comment>
    <comment ref="D46" authorId="0">
      <text>
        <r>
          <rPr>
            <sz val="11"/>
            <color indexed="8"/>
            <rFont val="Helvetica Neue"/>
          </rPr>
          <t>Marpa_brian:
VT CM07 Gessner #4501</t>
        </r>
      </text>
    </comment>
    <comment ref="A60" authorId="0">
      <text>
        <r>
          <rPr>
            <sz val="11"/>
            <color indexed="8"/>
            <rFont val="Helvetica Neue"/>
          </rPr>
          <t>Marpa_brian:
1 ton = 56 SF @ roadbase 3” thick</t>
        </r>
      </text>
    </comment>
    <comment ref="J61" authorId="0">
      <text>
        <r>
          <rPr>
            <sz val="11"/>
            <color indexed="8"/>
            <rFont val="Helvetica Neue"/>
          </rPr>
          <t>Marpa_brian:
VT - AR Concrete #0078</t>
        </r>
      </text>
    </comment>
    <comment ref="J65" authorId="0">
      <text>
        <r>
          <rPr>
            <sz val="11"/>
            <color indexed="8"/>
            <rFont val="Helvetica Neue"/>
          </rPr>
          <t xml:space="preserve">Marpa_brian:
White AttachmentA
</t>
        </r>
      </text>
    </comment>
    <comment ref="H89" authorId="0">
      <text>
        <r>
          <rPr>
            <sz val="11"/>
            <color indexed="8"/>
            <rFont val="Helvetica Neue"/>
          </rPr>
          <t xml:space="preserve">Marpa_brian:
DBS estimate 2024-Dec/Nov
</t>
        </r>
      </text>
    </comment>
    <comment ref="H90" authorId="0">
      <text>
        <r>
          <rPr>
            <sz val="11"/>
            <color indexed="8"/>
            <rFont val="Helvetica Neue"/>
          </rPr>
          <t xml:space="preserve">Marpa_brian:
DBS estimate 2024-Dec/Nov
</t>
        </r>
      </text>
    </comment>
    <comment ref="D166" authorId="0">
      <text>
        <r>
          <rPr>
            <sz val="11"/>
            <color indexed="8"/>
            <rFont val="Helvetica Neue"/>
          </rPr>
          <t>Marpa_brian:
Mallett. Parasol + install + tax. All retail pricing 20%</t>
        </r>
      </text>
    </comment>
  </commentList>
</comments>
</file>

<file path=xl/comments2.xml><?xml version="1.0" encoding="utf-8"?>
<comments xmlns="http://schemas.openxmlformats.org/spreadsheetml/2006/main">
  <authors>
    <author>Marpa_brian</author>
  </authors>
  <commentList>
    <comment ref="I15" authorId="0">
      <text>
        <r>
          <rPr>
            <sz val="11"/>
            <color indexed="8"/>
            <rFont val="Helvetica Neue"/>
          </rPr>
          <t xml:space="preserve">Marpa_brian:
TAC Proposal 1-30-2025
</t>
        </r>
      </text>
    </comment>
    <comment ref="I21" authorId="0">
      <text>
        <r>
          <rPr>
            <sz val="11"/>
            <color indexed="8"/>
            <rFont val="Helvetica Neue"/>
          </rPr>
          <t xml:space="preserve">Marpa_brian:
TAC Proposal 1-30-2025
</t>
        </r>
      </text>
    </comment>
  </commentList>
</comments>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<sst xmlns="http://schemas.openxmlformats.org/spreadsheetml/2006/main" uniqueCount="272">
  <si>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</si>
  <si>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</si>
  <si>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</si>
  <si>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</si>
  <si>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BUDGET</t>
  </si>
  <si>
    <t>Table 1</t>
  </si>
  <si>
    <t>Farber-Haines Residence</t>
  </si>
  <si>
    <r>
      <rPr>
        <sz val="12"/>
        <color indexed="8"/>
        <rFont val="Gill Sans Light"/>
      </rPr>
      <t xml:space="preserve">Landscape Construction Work Outline </t>
    </r>
    <r>
      <rPr>
        <vertAlign val="superscript"/>
        <sz val="12"/>
        <color indexed="8"/>
        <rFont val="Gill Sans Light"/>
      </rPr>
      <t>1.0</t>
    </r>
  </si>
  <si>
    <r>
      <rPr>
        <sz val="12"/>
        <color indexed="8"/>
        <rFont val="Gill Sans Light"/>
      </rPr>
      <t>Site Plan dated 03.17.26</t>
    </r>
  </si>
  <si>
    <t>DESCRIPTION</t>
  </si>
  <si>
    <t>QTY</t>
  </si>
  <si>
    <t xml:space="preserve">UNIT </t>
  </si>
  <si>
    <t>UNIT PRICE</t>
  </si>
  <si>
    <t>PRICE</t>
  </si>
  <si>
    <t>UPDATED</t>
  </si>
  <si>
    <t>TYPE</t>
  </si>
  <si>
    <t>COMPANY</t>
  </si>
  <si>
    <r>
      <rPr>
        <sz val="10"/>
        <color indexed="8"/>
        <rFont val="Gill Sans"/>
      </rPr>
      <t xml:space="preserve">SITE PREP </t>
    </r>
    <r>
      <rPr>
        <vertAlign val="superscript"/>
        <sz val="10"/>
        <color indexed="8"/>
        <rFont val="Gill Sans"/>
      </rPr>
      <t>2.0</t>
    </r>
  </si>
  <si>
    <t xml:space="preserve">Crew / Trailer / Machinery Mobilization </t>
  </si>
  <si>
    <t>ea</t>
  </si>
  <si>
    <t>Allowance</t>
  </si>
  <si>
    <r>
      <rPr>
        <sz val="9"/>
        <color indexed="8"/>
        <rFont val="Gill Sans Light"/>
      </rPr>
      <t xml:space="preserve">Allowance </t>
    </r>
    <r>
      <rPr>
        <vertAlign val="superscript"/>
        <sz val="9"/>
        <color indexed="8"/>
        <rFont val="Gill Sans Light"/>
      </rPr>
      <t>10.0</t>
    </r>
  </si>
  <si>
    <t>LHLC</t>
  </si>
  <si>
    <t>Debris Hauling &amp; Disposal</t>
  </si>
  <si>
    <r>
      <rPr>
        <sz val="10"/>
        <color indexed="8"/>
        <rFont val="Gill Sans Light"/>
      </rPr>
      <t xml:space="preserve">Final Site Property Cleanup, Detailing - ALLOWANCE </t>
    </r>
    <r>
      <rPr>
        <vertAlign val="superscript"/>
        <sz val="10"/>
        <color indexed="8"/>
        <rFont val="Gill Sans Light"/>
      </rPr>
      <t>10.0</t>
    </r>
  </si>
  <si>
    <r>
      <rPr>
        <sz val="10"/>
        <color indexed="8"/>
        <rFont val="Gill Sans"/>
      </rPr>
      <t xml:space="preserve">DRAINAGE ALLOWANCE </t>
    </r>
    <r>
      <rPr>
        <vertAlign val="superscript"/>
        <sz val="10"/>
        <color indexed="8"/>
        <rFont val="Gill Sans"/>
      </rPr>
      <t xml:space="preserve">10.0 </t>
    </r>
    <r>
      <rPr>
        <sz val="10"/>
        <color indexed="8"/>
        <rFont val="Gill Sans"/>
      </rPr>
      <t>(PENDING CIVIL DESIGN)</t>
    </r>
  </si>
  <si>
    <t>12” Area Drain / Elbow / Fittings @ Downspouts</t>
  </si>
  <si>
    <t>Downspout Extension w/ Popup Fitting</t>
  </si>
  <si>
    <t>lf</t>
  </si>
  <si>
    <r>
      <rPr>
        <sz val="10"/>
        <color indexed="8"/>
        <rFont val="Gill Sans Light"/>
      </rPr>
      <t xml:space="preserve">Site Drainage ALLOWANCE </t>
    </r>
    <r>
      <rPr>
        <vertAlign val="superscript"/>
        <sz val="10"/>
        <color indexed="8"/>
        <rFont val="Gill Sans Light"/>
      </rPr>
      <t>10.0</t>
    </r>
  </si>
  <si>
    <r>
      <rPr>
        <sz val="10"/>
        <color indexed="8"/>
        <rFont val="Gill Sans"/>
      </rPr>
      <t xml:space="preserve">WALLS - ALLOWANCE </t>
    </r>
    <r>
      <rPr>
        <vertAlign val="superscript"/>
        <sz val="10"/>
        <color indexed="8"/>
        <rFont val="Gill Sans"/>
      </rPr>
      <t>10.0</t>
    </r>
  </si>
  <si>
    <t>Concrete Wall (0’-8” W x 2’-0”H) w/ Spread Footer</t>
  </si>
  <si>
    <t>Concrete Pump</t>
  </si>
  <si>
    <t>Driveway Wall - Steel (~3’-0” H max.)</t>
  </si>
  <si>
    <t>Concrete Landscape Block Wall w/ French Drain w/ Cap (4-0” H)</t>
  </si>
  <si>
    <t>ff</t>
  </si>
  <si>
    <r>
      <rPr>
        <i val="1"/>
        <sz val="10"/>
        <color indexed="8"/>
        <rFont val="Gill Sans"/>
      </rPr>
      <t xml:space="preserve">Cost Savings Options </t>
    </r>
    <r>
      <rPr>
        <i val="1"/>
        <vertAlign val="superscript"/>
        <sz val="10"/>
        <color indexed="8"/>
        <rFont val="Gill Sans"/>
      </rPr>
      <t>12.0</t>
    </r>
  </si>
  <si>
    <t>Remove Driveway Wall</t>
  </si>
  <si>
    <r>
      <rPr>
        <sz val="10"/>
        <color indexed="8"/>
        <rFont val="Gill Sans"/>
      </rPr>
      <t xml:space="preserve">GRADING - ALLOWANCE </t>
    </r>
    <r>
      <rPr>
        <vertAlign val="superscript"/>
        <sz val="10"/>
        <color indexed="8"/>
        <rFont val="Gill Sans"/>
      </rPr>
      <t>10.0</t>
    </r>
  </si>
  <si>
    <r>
      <rPr>
        <sz val="10"/>
        <color indexed="8"/>
        <rFont val="Gill Sans Light"/>
      </rPr>
      <t xml:space="preserve">Fine Grading - ALLOWANCE </t>
    </r>
    <r>
      <rPr>
        <vertAlign val="superscript"/>
        <sz val="10"/>
        <color indexed="8"/>
        <rFont val="Gill Sans Light"/>
      </rPr>
      <t>10.0</t>
    </r>
  </si>
  <si>
    <r>
      <rPr>
        <sz val="10"/>
        <color indexed="8"/>
        <rFont val="Gill Sans"/>
      </rPr>
      <t xml:space="preserve">BOULDERS </t>
    </r>
    <r>
      <rPr>
        <vertAlign val="superscript"/>
        <sz val="10"/>
        <color indexed="8"/>
        <rFont val="Gill Sans"/>
      </rPr>
      <t>3.0</t>
    </r>
  </si>
  <si>
    <t>Boulders - Granite,  Avg 1.5 ton 18”x18”x36”</t>
  </si>
  <si>
    <t>ton</t>
  </si>
  <si>
    <t>Delivery - Boulders</t>
  </si>
  <si>
    <r>
      <rPr>
        <sz val="10"/>
        <color indexed="8"/>
        <rFont val="Gill Sans"/>
      </rPr>
      <t xml:space="preserve">POOL - ALLOWANCE </t>
    </r>
    <r>
      <rPr>
        <vertAlign val="superscript"/>
        <sz val="10"/>
        <color indexed="8"/>
        <rFont val="Gill Sans"/>
      </rPr>
      <t>9.0 + 10.0</t>
    </r>
  </si>
  <si>
    <t>Pool (10’-0” x 25’-0” Custom Shotcrete Shell w/ Equipment)</t>
  </si>
  <si>
    <t>Permit</t>
  </si>
  <si>
    <t>Preparation + Finish:</t>
  </si>
  <si>
    <t>Surveying and Staking</t>
  </si>
  <si>
    <t>Excavation and Backfill</t>
  </si>
  <si>
    <t xml:space="preserve">Trenching for Pool Plumbing (2’ Depth) </t>
  </si>
  <si>
    <t>Core Drill + LinkSeal to Mech Room</t>
  </si>
  <si>
    <t>Excluded</t>
  </si>
  <si>
    <t>Perimeter Drain Pool</t>
  </si>
  <si>
    <t>Bonding of Patio</t>
  </si>
  <si>
    <t>Auto Cover Brackets - Design and Material TBD</t>
  </si>
  <si>
    <t>Utilities:</t>
  </si>
  <si>
    <t>Energy Offsets Engineering Consultant, TBD</t>
  </si>
  <si>
    <t>Electrical Wiring to Equipment In Mech Room</t>
  </si>
  <si>
    <t>Plumbing and Autofill Hookups to Equipment</t>
  </si>
  <si>
    <t>Internet Hookup to Equipment</t>
  </si>
  <si>
    <t>Excluded, By Others:</t>
  </si>
  <si>
    <t>Mech Room Modifications, Concrete Floor Curb</t>
  </si>
  <si>
    <t>Utility Supply (Electric, Water and Internet), Hose Bib @ Mech Room</t>
  </si>
  <si>
    <t>Drainage - Recommended Two Floor Drains in Mech Room to Daylight</t>
  </si>
  <si>
    <t>Fresh Air Intake and Exhaust In Mech Room</t>
  </si>
  <si>
    <t>Replace w/ Fiberglass Pool Shell</t>
  </si>
  <si>
    <r>
      <rPr>
        <sz val="10"/>
        <color indexed="8"/>
        <rFont val="Gill Sans"/>
      </rPr>
      <t xml:space="preserve">FLATWORK / PAVING </t>
    </r>
    <r>
      <rPr>
        <vertAlign val="superscript"/>
        <sz val="10"/>
        <color indexed="8"/>
        <rFont val="Gill Sans"/>
      </rPr>
      <t>4.0</t>
    </r>
  </si>
  <si>
    <t>Preparation + Finish</t>
  </si>
  <si>
    <r>
      <rPr>
        <sz val="10"/>
        <color indexed="8"/>
        <rFont val="Gill Sans Light"/>
      </rPr>
      <t xml:space="preserve">Sleeving - ALLOWANCE </t>
    </r>
    <r>
      <rPr>
        <vertAlign val="superscript"/>
        <sz val="10"/>
        <color indexed="8"/>
        <rFont val="Gill Sans Light"/>
      </rPr>
      <t>10.0</t>
    </r>
  </si>
  <si>
    <t>Concrete Patios</t>
  </si>
  <si>
    <t>Road Base 3”, install compacted</t>
  </si>
  <si>
    <t>A&amp;R M C</t>
  </si>
  <si>
    <t>Concrete 3 1/2”, Sand-Finish</t>
  </si>
  <si>
    <t>sf</t>
  </si>
  <si>
    <t>Bid</t>
  </si>
  <si>
    <t>Added Color</t>
  </si>
  <si>
    <t>Stairs</t>
  </si>
  <si>
    <t>Stair Light Housing</t>
  </si>
  <si>
    <r>
      <rPr>
        <sz val="10"/>
        <color indexed="8"/>
        <rFont val="Gill Sans Light"/>
      </rPr>
      <t xml:space="preserve">Expansion Joint and Sealant - ALLOWANCE </t>
    </r>
    <r>
      <rPr>
        <vertAlign val="superscript"/>
        <sz val="10"/>
        <color indexed="8"/>
        <rFont val="Gill Sans Light"/>
      </rPr>
      <t>10.0</t>
    </r>
  </si>
  <si>
    <t>Coping at Pool</t>
  </si>
  <si>
    <t>Concrete 3 5/16”, Sand-Finish</t>
  </si>
  <si>
    <t>Steppers at Backyard</t>
  </si>
  <si>
    <t>Concrete Stairs @ Basement, by Others</t>
  </si>
  <si>
    <t>Rigid Foam Insulation for Snowmelt</t>
  </si>
  <si>
    <r>
      <rPr>
        <sz val="10"/>
        <color indexed="8"/>
        <rFont val="Gill Sans"/>
      </rPr>
      <t>IRRIGATION</t>
    </r>
    <r>
      <rPr>
        <vertAlign val="superscript"/>
        <sz val="10"/>
        <color indexed="8"/>
        <rFont val="Gill Sans"/>
      </rPr>
      <t xml:space="preserve"> </t>
    </r>
    <r>
      <rPr>
        <sz val="10"/>
        <color indexed="8"/>
        <rFont val="Gill Sans"/>
      </rPr>
      <t xml:space="preserve">ALLOWANCE </t>
    </r>
    <r>
      <rPr>
        <vertAlign val="superscript"/>
        <sz val="10"/>
        <color indexed="8"/>
        <rFont val="Gill Sans"/>
      </rPr>
      <t>6.0 + 10.0</t>
    </r>
  </si>
  <si>
    <r>
      <rPr>
        <sz val="10"/>
        <color indexed="8"/>
        <rFont val="Gill Sans Light"/>
      </rPr>
      <t>Ditch Integration ALLOWANCE</t>
    </r>
    <r>
      <rPr>
        <vertAlign val="superscript"/>
        <sz val="10"/>
        <color indexed="8"/>
        <rFont val="Gill Sans Light"/>
      </rPr>
      <t xml:space="preserve"> 10.0</t>
    </r>
  </si>
  <si>
    <t>4” Pop Up (Low Groundcover Areas / Lawn)</t>
  </si>
  <si>
    <t>Drip (Plants)</t>
  </si>
  <si>
    <t>Controller - Hunter HYDRAWISE Exterior Mounted</t>
  </si>
  <si>
    <t xml:space="preserve">Valve Box - Amatek Jumbo with Green Lid / Fittings </t>
  </si>
  <si>
    <r>
      <rPr>
        <sz val="10"/>
        <color indexed="8"/>
        <rFont val="Gill Sans"/>
      </rPr>
      <t xml:space="preserve">GROUNDCOVERS </t>
    </r>
    <r>
      <rPr>
        <vertAlign val="superscript"/>
        <sz val="10"/>
        <color indexed="8"/>
        <rFont val="Gill Sans"/>
      </rPr>
      <t>5.0</t>
    </r>
  </si>
  <si>
    <t>Edging - Bar Stock Steel @ Special Planters</t>
  </si>
  <si>
    <t>Edging - Roll Top @ Lawn, Gravel &amp; Bed Edges</t>
  </si>
  <si>
    <t>Amended Top Soil - 6” Depth @ Beds</t>
  </si>
  <si>
    <t>yd</t>
  </si>
  <si>
    <t>Amended Top Soil - 24” Depth @ Berms</t>
  </si>
  <si>
    <t>Soil Prep @ Beds - Compost (4 YD/1000 SF)</t>
  </si>
  <si>
    <t>Soil Prep @ Berms - Compost (4 YD/1000 SF)</t>
  </si>
  <si>
    <t>Mulch - Wood Depth (no fabric)</t>
  </si>
  <si>
    <t>Estimate</t>
  </si>
  <si>
    <t>Delivery - Mulch</t>
  </si>
  <si>
    <t>Sod - Kentucky Bluegrass w/o Soil Prep</t>
  </si>
  <si>
    <t>Soil Prep @ Sod - Lawn Compost (4 YD/1000 SF)</t>
  </si>
  <si>
    <t>Paths - 25% 3/8” Granite Chip + 75% Breeze, 3” Depth w/ Fabric</t>
  </si>
  <si>
    <t>Gravel - Granite 3/8” @ 3”Depth (w/ fabric)</t>
  </si>
  <si>
    <t>Delivery - General</t>
  </si>
  <si>
    <t>Remove Back Yard Berm (Replace with Sod)</t>
  </si>
  <si>
    <t>cy</t>
  </si>
  <si>
    <t>Soil Prep - Compost (4 YD/1000 SF) @ Berms</t>
  </si>
  <si>
    <t>Mulch - Wood” Depth (no fabric)</t>
  </si>
  <si>
    <t>Eliminate Edging at Pathway</t>
  </si>
  <si>
    <t>Eliminate Special Edging at Planters</t>
  </si>
  <si>
    <r>
      <rPr>
        <sz val="10"/>
        <color indexed="8"/>
        <rFont val="Gill Sans"/>
      </rPr>
      <t xml:space="preserve">PLANT MATERIAL - ALLOWANCE </t>
    </r>
    <r>
      <rPr>
        <vertAlign val="superscript"/>
        <sz val="10"/>
        <color indexed="8"/>
        <rFont val="Gill Sans"/>
      </rPr>
      <t>8.0 +10.0</t>
    </r>
  </si>
  <si>
    <t>Groundcover - Perennial Flat (F32)</t>
  </si>
  <si>
    <t>Grass (#1)</t>
  </si>
  <si>
    <t>Perennial (#1)</t>
  </si>
  <si>
    <t>Shrub - Deciduous (#5)</t>
  </si>
  <si>
    <t>Shrub - Evergreen (#6)</t>
  </si>
  <si>
    <t>Trees - Deciduous (2” Caliper, 6-8’ H)</t>
  </si>
  <si>
    <t>Trees - Deciduous (2+” Caliper, 8-10’ H)</t>
  </si>
  <si>
    <t>Trees - Evergreen (6-8’ H)</t>
  </si>
  <si>
    <t>Delivery - Plants</t>
  </si>
  <si>
    <t>Character Pine by Marpa (6’ H)</t>
  </si>
  <si>
    <t>Character Pine Install + Delivery</t>
  </si>
  <si>
    <t>Remove Back Yard Berm</t>
  </si>
  <si>
    <t>Groundcover Flat (F32)</t>
  </si>
  <si>
    <r>
      <rPr>
        <sz val="10"/>
        <color indexed="8"/>
        <rFont val="Gill Sans"/>
      </rPr>
      <t xml:space="preserve">DRIVEWAY - ALLOWANCE </t>
    </r>
    <r>
      <rPr>
        <vertAlign val="superscript"/>
        <sz val="10"/>
        <color indexed="8"/>
        <rFont val="Gill Sans"/>
      </rPr>
      <t>10.0</t>
    </r>
  </si>
  <si>
    <t>Broom-Finish Concrete Slab 5” w/ Sawcut Joints</t>
  </si>
  <si>
    <t>Prep 4” Road Base, Stabilizer, Geotextile, (Excludes Demo + Debris)</t>
  </si>
  <si>
    <r>
      <rPr>
        <sz val="10"/>
        <color indexed="8"/>
        <rFont val="Gill Sans"/>
      </rPr>
      <t xml:space="preserve">FENCING - ALLOWANCE </t>
    </r>
    <r>
      <rPr>
        <vertAlign val="superscript"/>
        <sz val="10"/>
        <color indexed="8"/>
        <rFont val="Gill Sans"/>
      </rPr>
      <t>10.0</t>
    </r>
  </si>
  <si>
    <t>Fence Removal</t>
  </si>
  <si>
    <t>Wood (6’-0”H) - Screening @ Property Lines</t>
  </si>
  <si>
    <t>Gate</t>
  </si>
  <si>
    <t>Staining</t>
  </si>
  <si>
    <t>Remove Front Yard @ Setback</t>
  </si>
  <si>
    <r>
      <rPr>
        <sz val="10"/>
        <color indexed="8"/>
        <rFont val="Gill Sans"/>
      </rPr>
      <t xml:space="preserve">LIGHTING - ALLOWANCE </t>
    </r>
    <r>
      <rPr>
        <vertAlign val="superscript"/>
        <sz val="10"/>
        <color indexed="8"/>
        <rFont val="Gill Sans"/>
      </rPr>
      <t>7.0 + 10.0</t>
    </r>
  </si>
  <si>
    <t>Accent Light (Fixture, Install, Wire)</t>
  </si>
  <si>
    <t>Path Light (Fixture, Install, Wire)</t>
  </si>
  <si>
    <t>Ground Light (Fixture, Install, Wire)</t>
  </si>
  <si>
    <t>Wall Light (Fixture, Install, Wire)</t>
  </si>
  <si>
    <t>Transformer - FX Luxor - 300 W / Wire / Programming</t>
  </si>
  <si>
    <t>Reduce 33%</t>
  </si>
  <si>
    <r>
      <rPr>
        <sz val="10"/>
        <color indexed="8"/>
        <rFont val="Gill Sans"/>
      </rPr>
      <t xml:space="preserve">RAISED PLANTERS ALLOWANCE </t>
    </r>
    <r>
      <rPr>
        <vertAlign val="superscript"/>
        <sz val="10"/>
        <color indexed="8"/>
        <rFont val="Gill Sans"/>
      </rPr>
      <t>10.0</t>
    </r>
  </si>
  <si>
    <t>Steel - Large Sizes 12’ L x 4 to 8’ W x 2’H</t>
  </si>
  <si>
    <t>Delivery - Steel</t>
  </si>
  <si>
    <t>Wood - Garden Beds 3’W x 5’L</t>
  </si>
  <si>
    <t>Eliminate Garden Beds</t>
  </si>
  <si>
    <r>
      <rPr>
        <sz val="10"/>
        <color indexed="8"/>
        <rFont val="Gill Sans"/>
      </rPr>
      <t xml:space="preserve">GENERAL ALLOWANCES </t>
    </r>
    <r>
      <rPr>
        <vertAlign val="superscript"/>
        <sz val="10"/>
        <color indexed="8"/>
        <rFont val="Gill Sans"/>
      </rPr>
      <t>10.0</t>
    </r>
  </si>
  <si>
    <t>Trenching / Utilities / Undergrounds</t>
  </si>
  <si>
    <t>Steel - Curved Wall</t>
  </si>
  <si>
    <t>Trash Enclosure</t>
  </si>
  <si>
    <t>Eliminate Steel Wall</t>
  </si>
  <si>
    <r>
      <rPr>
        <sz val="10"/>
        <color indexed="8"/>
        <rFont val="Gill Sans"/>
      </rPr>
      <t xml:space="preserve">FURNISHINGS - SHADE PARASOL ALLOWANCE </t>
    </r>
    <r>
      <rPr>
        <vertAlign val="superscript"/>
        <sz val="10"/>
        <color indexed="8"/>
        <rFont val="Gill Sans"/>
      </rPr>
      <t>10.0</t>
    </r>
  </si>
  <si>
    <t>Shade Parasol (Touch 10' x 20' OM Max Dual Cantilever) + Install</t>
  </si>
  <si>
    <t>Shade Parasol Cover</t>
  </si>
  <si>
    <t>Shade Parasol  Anchor Base</t>
  </si>
  <si>
    <t>Shipping + Tax</t>
  </si>
  <si>
    <t>Subtotal</t>
  </si>
  <si>
    <t>Marpa Contracting &amp; Project Management Fee</t>
  </si>
  <si>
    <t>Project Foreman Fee</t>
  </si>
  <si>
    <t>MARPA</t>
  </si>
  <si>
    <t>Project Liability Insurance (0.85%)</t>
  </si>
  <si>
    <t>TOTAL</t>
  </si>
  <si>
    <t>TOTAL W/ COST SAVINGS OPTIONS</t>
  </si>
  <si>
    <r>
      <rPr>
        <i val="1"/>
        <sz val="10"/>
        <color indexed="8"/>
        <rFont val="Gill Sans"/>
      </rPr>
      <t xml:space="preserve">Rough Budget Contingency (Not Included in Total, Shown for Reference Only) </t>
    </r>
    <r>
      <rPr>
        <i val="1"/>
        <vertAlign val="superscript"/>
        <sz val="10"/>
        <color indexed="8"/>
        <rFont val="Gill Sans"/>
      </rPr>
      <t>11.0</t>
    </r>
  </si>
  <si>
    <r>
      <rPr>
        <sz val="12"/>
        <color indexed="8"/>
        <rFont val="Gill Sans"/>
      </rPr>
      <t>ADD OPTIONS</t>
    </r>
    <r>
      <rPr>
        <vertAlign val="superscript"/>
        <sz val="12"/>
        <color indexed="8"/>
        <rFont val="Gill Sans"/>
      </rPr>
      <t xml:space="preserve"> 12.0</t>
    </r>
  </si>
  <si>
    <r>
      <rPr>
        <sz val="10"/>
        <color indexed="8"/>
        <rFont val="Gill Sans"/>
      </rPr>
      <t xml:space="preserve">AUTO GATE - ALLOWANCE </t>
    </r>
    <r>
      <rPr>
        <vertAlign val="superscript"/>
        <sz val="10"/>
        <color indexed="8"/>
        <rFont val="Gill Sans"/>
      </rPr>
      <t>10.0</t>
    </r>
  </si>
  <si>
    <t>Auto Gate + Equipment @ Driveway</t>
  </si>
  <si>
    <t>Excavation + Backfill</t>
  </si>
  <si>
    <t>Concrete Footers 4’x4’x4’ (Two Pours)</t>
  </si>
  <si>
    <t>Trenching / Conduit</t>
  </si>
  <si>
    <t>Electrical + Internet Work</t>
  </si>
  <si>
    <t>AV and Integration to Smart Home System, By Other</t>
  </si>
  <si>
    <t>FENCING AT FRONT YARD</t>
  </si>
  <si>
    <t>Wood (3’-0”H) - Privacy @ Front Yard</t>
  </si>
  <si>
    <r>
      <rPr>
        <sz val="10"/>
        <color indexed="8"/>
        <rFont val="Gill Sans"/>
      </rPr>
      <t xml:space="preserve">FIRE PIT ALLOWANCE </t>
    </r>
    <r>
      <rPr>
        <vertAlign val="superscript"/>
        <sz val="10"/>
        <color indexed="8"/>
        <rFont val="Gill Sans"/>
      </rPr>
      <t>10.0</t>
    </r>
  </si>
  <si>
    <t>Wood Burning Pit - Steel</t>
  </si>
  <si>
    <t>Wood Storage Rack</t>
  </si>
  <si>
    <r>
      <rPr>
        <sz val="10"/>
        <color indexed="8"/>
        <rFont val="Gill Sans"/>
      </rPr>
      <t xml:space="preserve">OUTDOOR KITCHEN ALLOWANCE </t>
    </r>
    <r>
      <rPr>
        <vertAlign val="superscript"/>
        <sz val="10"/>
        <color indexed="8"/>
        <rFont val="Gill Sans"/>
      </rPr>
      <t>10.0</t>
    </r>
  </si>
  <si>
    <t>Varies Per Design</t>
  </si>
  <si>
    <t>SPA</t>
  </si>
  <si>
    <t>Spa w/ Autocover &amp; Equipment</t>
  </si>
  <si>
    <t>Coping at Spa</t>
  </si>
  <si>
    <t>Electrical Wiring</t>
  </si>
  <si>
    <t>Water Supply &amp; Hookup</t>
  </si>
  <si>
    <t>Internet Supply &amp; Hookup</t>
  </si>
  <si>
    <t>TRENCH DRAIN (Pending Civil</t>
  </si>
  <si>
    <r>
      <rPr>
        <sz val="10"/>
        <color indexed="8"/>
        <rFont val="Gill Sans Light"/>
      </rPr>
      <t>Trench Drain @ Driveway - ALLOWANCE</t>
    </r>
    <r>
      <rPr>
        <vertAlign val="superscript"/>
        <sz val="10"/>
        <color indexed="8"/>
        <rFont val="Gill Sans Light"/>
      </rPr>
      <t xml:space="preserve"> 10.0</t>
    </r>
  </si>
  <si>
    <r>
      <rPr>
        <sz val="10"/>
        <color indexed="8"/>
        <rFont val="Gill Sans Light"/>
      </rPr>
      <t>Trench Drain @ Pool - ALLOWANCE</t>
    </r>
    <r>
      <rPr>
        <vertAlign val="superscript"/>
        <sz val="10"/>
        <color indexed="8"/>
        <rFont val="Gill Sans Light"/>
      </rPr>
      <t xml:space="preserve"> 10.0</t>
    </r>
  </si>
  <si>
    <t>WALLS - STONE FASCIA</t>
  </si>
  <si>
    <t>Stone Cladding, Materials + Install (Pending Material)</t>
  </si>
  <si>
    <t>Stone Cap, Materials + Install (Pending Material)</t>
  </si>
  <si>
    <t>VE</t>
  </si>
  <si>
    <t>Value Engineering Options</t>
  </si>
  <si>
    <t>Scope of Work</t>
  </si>
  <si>
    <t>SD1</t>
  </si>
  <si>
    <t>PB 1</t>
  </si>
  <si>
    <t>Difference</t>
  </si>
  <si>
    <t>NOTES</t>
  </si>
  <si>
    <t>VALUE ENGINEERING Options</t>
  </si>
  <si>
    <t>VALUE ENGINEERING Savings</t>
  </si>
  <si>
    <t>DETAIL</t>
  </si>
  <si>
    <r>
      <rPr>
        <b val="1"/>
        <u val="single"/>
        <sz val="9"/>
        <color indexed="8"/>
        <rFont val="Gill Sans"/>
      </rPr>
      <t>INVOICED</t>
    </r>
    <r>
      <rPr>
        <u val="single"/>
        <sz val="9"/>
        <color indexed="8"/>
        <rFont val="Gill Sans Light"/>
      </rPr>
      <t xml:space="preserve"> + </t>
    </r>
    <r>
      <rPr>
        <i val="1"/>
        <u val="single"/>
        <sz val="9"/>
        <color indexed="8"/>
        <rFont val="Gill Sans"/>
      </rPr>
      <t>TRENDING</t>
    </r>
  </si>
  <si>
    <t>INVOICE 01 - 2023.09.18</t>
  </si>
  <si>
    <t>INVOICE 02 - 2023.10.19</t>
  </si>
  <si>
    <t>INVOICE 03 - 2023.11.13</t>
  </si>
  <si>
    <t>INVOICE 04 - 2023.11.29</t>
  </si>
  <si>
    <t>INVOICE 05 - 2023.12.04</t>
  </si>
  <si>
    <t>DATE:</t>
  </si>
  <si>
    <t>Site Prep</t>
  </si>
  <si>
    <t>-</t>
  </si>
  <si>
    <t>Drainage</t>
  </si>
  <si>
    <t>Civil Design TBD</t>
  </si>
  <si>
    <t>Walls</t>
  </si>
  <si>
    <t>Change to Concrete Walls</t>
  </si>
  <si>
    <t>Grading</t>
  </si>
  <si>
    <t>Boulders</t>
  </si>
  <si>
    <t xml:space="preserve">Pool </t>
  </si>
  <si>
    <t>Change to Fiberglass Pool Shell</t>
  </si>
  <si>
    <t>Spa</t>
  </si>
  <si>
    <t>Eliminate Spa</t>
  </si>
  <si>
    <t>Flatwork</t>
  </si>
  <si>
    <t>Irrigation</t>
  </si>
  <si>
    <t>Groundcovers</t>
  </si>
  <si>
    <t>Reduce Backyard Berm &amp; Edging</t>
  </si>
  <si>
    <t>Planting</t>
  </si>
  <si>
    <t>Reduce Backyard Berm</t>
  </si>
  <si>
    <t>Driveway</t>
  </si>
  <si>
    <t>Auto Gate*</t>
  </si>
  <si>
    <t>Remove</t>
  </si>
  <si>
    <t>Fencing</t>
  </si>
  <si>
    <t>Reduce Front Yard</t>
  </si>
  <si>
    <t>3/L4.20</t>
  </si>
  <si>
    <t>Lighting</t>
  </si>
  <si>
    <t>Reduce Qty</t>
  </si>
  <si>
    <t>Raised Planters</t>
  </si>
  <si>
    <t>Reduce</t>
  </si>
  <si>
    <t>General Allowances</t>
  </si>
  <si>
    <t>SUBTOTAL</t>
  </si>
  <si>
    <t>Project Management Fee</t>
  </si>
  <si>
    <t>PROJECT LIABILITY INSURANCE</t>
  </si>
  <si>
    <t>TOTAL PROJECT COSTS</t>
  </si>
  <si>
    <t>Add OPTIONS</t>
  </si>
  <si>
    <t>Progress</t>
  </si>
  <si>
    <t>Tbd</t>
  </si>
  <si>
    <t>Furnishings Shade Parasol</t>
  </si>
  <si>
    <t>Fire Feature*</t>
  </si>
  <si>
    <t>Design TBD</t>
  </si>
  <si>
    <t>Outdoor Kitchen</t>
  </si>
  <si>
    <t>Trench Drain at Driveway</t>
  </si>
  <si>
    <t>Raised Planters + Trellis</t>
  </si>
  <si>
    <t>SERVICES</t>
  </si>
  <si>
    <t>Design and Construction Services Summary</t>
  </si>
  <si>
    <t xml:space="preserve"> </t>
  </si>
  <si>
    <t>DESIGN SERVICES COST ESTIMATE</t>
  </si>
  <si>
    <t>Schematic Design (ESTIMATED)</t>
  </si>
  <si>
    <t>Design Development / Bidding (ESTIMATED)</t>
  </si>
  <si>
    <t>Construction Documents, During (ESTIMATED)</t>
  </si>
  <si>
    <t>PROJECT TOTAL</t>
  </si>
  <si>
    <t>CONSTRUCTION COST ESTIMATE</t>
  </si>
  <si>
    <t>ESTIMATED CONSTRUCTION TOTAL</t>
  </si>
  <si>
    <t>ESTIMATED CONSTRUCTION TOTAL W/ COST SAVINGS OPTIONS</t>
  </si>
  <si>
    <t>PROJECT TOTALS</t>
  </si>
  <si>
    <t>ESTIMATED DESIGN</t>
  </si>
  <si>
    <t xml:space="preserve">ESTIMATED CONSTRUCTION </t>
  </si>
  <si>
    <t>ESTIMATED PROJECT TOTAL</t>
  </si>
  <si>
    <t>ESTIMATED PROJECT TOTAL W/ COST SAVINGS OPTIONS</t>
  </si>
  <si>
    <t>Budget Notes</t>
  </si>
  <si>
    <t>EXCLUSIONS</t>
  </si>
  <si>
    <r>
      <rPr>
        <sz val="8"/>
        <color indexed="8"/>
        <rFont val="Gill Sans Light"/>
      </rPr>
      <t> </t>
    </r>
    <r>
      <rPr>
        <sz val="8"/>
        <color indexed="8"/>
        <rFont val="Gill Sans"/>
      </rPr>
      <t>Budget does not include</t>
    </r>
    <r>
      <rPr>
        <sz val="8"/>
        <color indexed="8"/>
        <rFont val="Gill Sans Light"/>
      </rPr>
      <t>: Furniture, Rough Grading, Landscape Maintenance, Subgrade Drainage, Snowmelt Equipment and Install, Third Party Inspections, Tree Removal, or anything not explicitly stated above.</t>
    </r>
  </si>
  <si>
    <r>
      <rPr>
        <sz val="8"/>
        <color indexed="8"/>
        <rFont val="Gill Sans Light"/>
      </rPr>
      <t xml:space="preserve">
</t>
    </r>
    <r>
      <rPr>
        <sz val="8"/>
        <color indexed="8"/>
        <rFont val="Gill Sans"/>
      </rPr>
      <t>1.0</t>
    </r>
    <r>
      <rPr>
        <sz val="8"/>
        <color indexed="8"/>
        <rFont val="Gill Sans Light"/>
      </rPr>
      <t xml:space="preserve"> This budget has been prepared based off of the plans dated in the title. Assumes site will be delivered in a clean and orderly manner. Due to inflation and tariffs, pricing is subject to change throughout the course of construction and will be billed at actual price incurred for completed work. Due to the increased demand for imported goods as well as global supply chain issues, any ordered products and materials are subject to long lead times that may change over the course of the project, therefore any delivery date provided on orders are to be viewed as an approximate target date and cannot be guaranteed. Does not include Landscape Maintenance. </t>
    </r>
    <r>
      <rPr>
        <sz val="8"/>
        <color indexed="8"/>
        <rFont val="Gill Sans"/>
      </rPr>
      <t>Pricing is based off yearly averages as observed by Marpa Landscape Architecture and may vary compared to firm bids. The plans referenced are at a Schematic Design level, therefore there is the possibility for unknown details, as well as additional unknown / unidentified costs. This document is not a firm bid and is not to be used for contracts or construction. Marpa Recommends a 10% contingency is planned upon by the homeowner for unforeseen events which occur during the installation process.</t>
    </r>
    <r>
      <rPr>
        <sz val="8"/>
        <color indexed="8"/>
        <rFont val="Gill Sans Light"/>
      </rPr>
      <t> </t>
    </r>
    <r>
      <rPr>
        <sz val="8"/>
        <color indexed="8"/>
        <rFont val="Gill Sans"/>
      </rPr>
      <t>2.0</t>
    </r>
    <r>
      <rPr>
        <sz val="8"/>
        <color indexed="8"/>
        <rFont val="Gill Sans Light"/>
      </rPr>
      <t xml:space="preserve"> Assumes use of driveway for access. Assumes job trailer can be parked on site. Does not include street occupancy or parking permits if needed. Marpa is not liable for regular wear and tear to public right of way (roads, alleys, sidewalks, etc.) that are necessary to use for access to the project. Transplanting existing trees is a risky process, with typically 50% success rate. Transplanted trees are not covered under warranty. Does not include permit or tax reconciliation fees that may be required by the relevant government authority after the completion of the Project.</t>
    </r>
    <r>
      <rPr>
        <sz val="8"/>
        <color indexed="8"/>
        <rFont val="Gill Sans SemiBold"/>
      </rPr>
      <t> </t>
    </r>
    <r>
      <rPr>
        <sz val="8"/>
        <color indexed="8"/>
        <rFont val="Gill Sans"/>
      </rPr>
      <t xml:space="preserve">3.0 </t>
    </r>
    <r>
      <rPr>
        <sz val="8"/>
        <color indexed="8"/>
        <rFont val="Gill Sans Light"/>
      </rPr>
      <t>Actual boulder size and locations will vary from plan, based on selection available at quarry / landscape yard. Trips to select boulders are subject to mileage reimbursement at the current IRS Standard Mileage Rate.</t>
    </r>
    <r>
      <rPr>
        <sz val="8"/>
        <color indexed="8"/>
        <rFont val="Gill Sans"/>
      </rPr>
      <t xml:space="preserve"> 4.0 </t>
    </r>
    <r>
      <rPr>
        <sz val="8"/>
        <color indexed="8"/>
        <rFont val="Gill Sans Light"/>
      </rPr>
      <t>Sand-Finish concrete requires at least 3-4 continuous nights of temperatures above 45° to pour and cure. Control joints to be cut into concrete per the plans to help</t>
    </r>
    <r>
      <rPr>
        <i val="1"/>
        <sz val="8"/>
        <color indexed="8"/>
        <rFont val="Gill Sans"/>
      </rPr>
      <t xml:space="preserve"> </t>
    </r>
    <r>
      <rPr>
        <sz val="8"/>
        <color indexed="8"/>
        <rFont val="Gill Sans Light"/>
      </rPr>
      <t>control the areas in which concrete is likely to crack, not prevent cracking. Hairline cracks may appear outside of the control joints. The presence of a hairline crack does not mean the installation was done improperly, nor does it indicate a flaw in the concrete or structural issues. The use of snow melt products on finished concrete will cause corrosion within the layers of concrete, resulting in pitting and cracking; any damage resulting from the use of snow melt products is not covered by warranty.  </t>
    </r>
    <r>
      <rPr>
        <sz val="8"/>
        <color indexed="8"/>
        <rFont val="Gill Sans"/>
      </rPr>
      <t xml:space="preserve">5.0 </t>
    </r>
    <r>
      <rPr>
        <sz val="8"/>
        <color indexed="8"/>
        <rFont val="Gill Sans Light"/>
      </rPr>
      <t>Sod requires minimum 2 weeks to set with no traffic of any kind. All warranties on sod, which is planted between September and April, will be considered waived, voided, and null unless the Client agrees to have the Contractor perform winter watering services as needed during the winter months while irrigation systems are winterized.</t>
    </r>
    <r>
      <rPr>
        <sz val="8"/>
        <color indexed="8"/>
        <rFont val="Gill Sans"/>
      </rPr>
      <t xml:space="preserve"> 6.0 </t>
    </r>
    <r>
      <rPr>
        <sz val="8"/>
        <color indexed="8"/>
        <rFont val="Gill Sans Light"/>
      </rPr>
      <t>Irrigation pricing assumes points of connection, electrical and WiFi will be provided by other. Assumes controllers are to be wall mounted in the same location as the points of connection, unless otherwise noted. Final design and pressure at POCs at time of installation may affect final price. Does not include irrigation winterization and / or start up during the season following installation. </t>
    </r>
    <r>
      <rPr>
        <sz val="8"/>
        <color indexed="8"/>
        <rFont val="Gill Sans"/>
      </rPr>
      <t>7.0</t>
    </r>
    <r>
      <rPr>
        <sz val="8"/>
        <color indexed="8"/>
        <rFont val="Gill Sans Light"/>
      </rPr>
      <t xml:space="preserve"> Assumes outlets to be provided at house for lighting transformer. Integration of lighting into house to be under the House Contractor’s scope. Homeowner to assume responsibility should lighting plan not be dark sky compliant. </t>
    </r>
    <r>
      <rPr>
        <sz val="8"/>
        <color indexed="8"/>
        <rFont val="Gill Sans"/>
      </rPr>
      <t xml:space="preserve">8.0 </t>
    </r>
    <r>
      <rPr>
        <sz val="8"/>
        <color indexed="8"/>
        <rFont val="Gill Sans Light"/>
      </rPr>
      <t xml:space="preserve">Plant species, quantities, and size are subject to change based on availability at time of planting, as well as creative direction from Landscape Architect. Trips to select plant material are subject to mileage reimbursement at the current IRS Standard Mileage Rate. Planting window for grasses, perennials, and shrubs is after last frost in the spring and before first frost in the fall. All warranties on plant material will be considered waived, voided, and null unless the Client agrees to have the Contractor perform winter watering services as needed during the winter months while irrigation systems are winterized.
</t>
    </r>
    <r>
      <rPr>
        <sz val="8"/>
        <color indexed="8"/>
        <rFont val="Gill Sans"/>
      </rPr>
      <t xml:space="preserve">9.0 </t>
    </r>
    <r>
      <rPr>
        <sz val="8"/>
        <color indexed="8"/>
        <rFont val="Gill Sans Light"/>
      </rPr>
      <t>Additional cost may be required for: tenting and / or heating at time of plaster (pending cold weather temperatures), dewatering and perimeter drain (if ground water is encountered during excavation).</t>
    </r>
    <r>
      <rPr>
        <sz val="8"/>
        <color indexed="8"/>
        <rFont val="Gill Sans"/>
      </rPr>
      <t xml:space="preserve"> 10.0 </t>
    </r>
    <r>
      <rPr>
        <sz val="8"/>
        <color indexed="8"/>
        <rFont val="Gill Sans Light"/>
      </rPr>
      <t>Allowances are rough estimates for cost of work. Actual prices will be furnished at time of invoicing. </t>
    </r>
    <r>
      <rPr>
        <sz val="8"/>
        <color indexed="8"/>
        <rFont val="Gill Sans"/>
      </rPr>
      <t>11.0</t>
    </r>
    <r>
      <rPr>
        <sz val="8"/>
        <color indexed="8"/>
        <rFont val="Gill Sans Light"/>
      </rPr>
      <t xml:space="preserve"> Rough Budget Contingency is included to cover unforeseen details and costs, as the plans are not at a Construction Document level. This cost is a percentage calculation and meant to convey that, though thorough, this document may be missing costs in certain areas.
</t>
    </r>
    <r>
      <rPr>
        <sz val="8"/>
        <color indexed="8"/>
        <rFont val="Gill Sans"/>
      </rPr>
      <t xml:space="preserve">12.0 </t>
    </r>
    <r>
      <rPr>
        <sz val="8"/>
        <color indexed="8"/>
        <rFont val="Gill Sans Light"/>
      </rPr>
      <t xml:space="preserve">Add Options are not included in the Project Total or scope of work. Should they be added to the scope, they will be presented as a Change Order and include a Marpa Design &amp; Planning, Oversight, Quality Control &amp; Contracting Fee.
</t>
    </r>
  </si>
</sst>
</file>

<file path=xl/styles.xml><?xml version="1.0" encoding="utf-8"?>
<styleSheet xmlns="http://schemas.openxmlformats.org/spreadsheetml/2006/main">
  <numFmts count="10">
    <numFmt numFmtId="0" formatCode="General"/>
    <numFmt numFmtId="59" formatCode="_-&quot;$&quot;* #,##0.00_-;_-&quot;$&quot;* \(#,##0.00\)_-;_-&quot;$&quot;* &quot;-&quot;??;_-@_-"/>
    <numFmt numFmtId="60" formatCode="&quot;$&quot;#,##0.00"/>
    <numFmt numFmtId="61" formatCode="m/d"/>
    <numFmt numFmtId="62" formatCode="&quot;$&quot;0.00"/>
    <numFmt numFmtId="63" formatCode="m/yy"/>
    <numFmt numFmtId="64" formatCode="_-&quot;$&quot;* #,##0_-;_-&quot;$&quot;* \(#,##0\)_-;_-&quot;$&quot;* &quot;-&quot;??;_-@_-"/>
    <numFmt numFmtId="65" formatCode="&quot;#&quot;####"/>
    <numFmt numFmtId="66" formatCode="#,##0.0"/>
    <numFmt numFmtId="67" formatCode="0.0%"/>
  </numFmts>
  <fonts count="55">
    <font>
      <sz val="12"/>
      <color indexed="8"/>
      <name val="Calibri"/>
    </font>
    <font>
      <sz val="14"/>
      <color indexed="8"/>
      <name val="Calibri"/>
    </font>
    <font>
      <i val="1"/>
      <sz val="12"/>
      <color indexed="8"/>
      <name val="Calibri"/>
    </font>
    <font>
      <sz val="9"/>
      <color indexed="8"/>
      <name val="Moon 2.0 Regular"/>
    </font>
    <font>
      <sz val="9"/>
      <color indexed="8"/>
      <name val="Gill Sans Light"/>
    </font>
    <font>
      <sz val="8"/>
      <color indexed="8"/>
      <name val="Gill Sans"/>
    </font>
    <font>
      <u val="single"/>
      <sz val="12"/>
      <color indexed="11"/>
      <name val="Calibri"/>
    </font>
    <font>
      <sz val="15"/>
      <color indexed="8"/>
      <name val="Calibri"/>
    </font>
    <font>
      <sz val="14"/>
      <color indexed="8"/>
      <name val="Gill Sans"/>
    </font>
    <font>
      <sz val="12"/>
      <color indexed="8"/>
      <name val="Gill Sans Light"/>
    </font>
    <font>
      <vertAlign val="superscript"/>
      <sz val="12"/>
      <color indexed="8"/>
      <name val="Gill Sans Light"/>
    </font>
    <font>
      <u val="single"/>
      <sz val="8"/>
      <color indexed="8"/>
      <name val="Gill Sans Light"/>
    </font>
    <font>
      <sz val="8"/>
      <color indexed="8"/>
      <name val="Gill Sans Light"/>
    </font>
    <font>
      <sz val="10"/>
      <color indexed="8"/>
      <name val="Gill Sans"/>
    </font>
    <font>
      <vertAlign val="superscript"/>
      <sz val="10"/>
      <color indexed="8"/>
      <name val="Gill Sans"/>
    </font>
    <font>
      <sz val="9"/>
      <color indexed="8"/>
      <name val="Gill Sans"/>
    </font>
    <font>
      <sz val="10"/>
      <color indexed="8"/>
      <name val="Gill Sans Light"/>
    </font>
    <font>
      <vertAlign val="superscript"/>
      <sz val="9"/>
      <color indexed="8"/>
      <name val="Gill Sans Light"/>
    </font>
    <font>
      <vertAlign val="superscript"/>
      <sz val="10"/>
      <color indexed="8"/>
      <name val="Gill Sans Light"/>
    </font>
    <font>
      <sz val="11"/>
      <color indexed="8"/>
      <name val="Helvetica Neue"/>
    </font>
    <font>
      <i val="1"/>
      <sz val="10"/>
      <color indexed="8"/>
      <name val="Gill Sans"/>
    </font>
    <font>
      <i val="1"/>
      <vertAlign val="superscript"/>
      <sz val="10"/>
      <color indexed="8"/>
      <name val="Gill Sans"/>
    </font>
    <font>
      <sz val="10"/>
      <color indexed="15"/>
      <name val="Gill Sans Light"/>
    </font>
    <font>
      <u val="single"/>
      <sz val="10"/>
      <color indexed="8"/>
      <name val="Gill Sans Light"/>
    </font>
    <font>
      <b val="1"/>
      <sz val="10"/>
      <color indexed="8"/>
      <name val="Gill Sans"/>
    </font>
    <font>
      <i val="1"/>
      <u val="single"/>
      <sz val="10"/>
      <color indexed="8"/>
      <name val="Gill Sans"/>
    </font>
    <font>
      <sz val="9"/>
      <color indexed="13"/>
      <name val="Gill Sans Light"/>
    </font>
    <font>
      <u val="single"/>
      <sz val="9"/>
      <color indexed="8"/>
      <name val="Gill Sans"/>
    </font>
    <font>
      <sz val="11"/>
      <color indexed="8"/>
      <name val="Gill Sans"/>
    </font>
    <font>
      <sz val="12"/>
      <color indexed="8"/>
      <name val="Gill Sans"/>
    </font>
    <font>
      <vertAlign val="superscript"/>
      <sz val="12"/>
      <color indexed="8"/>
      <name val="Gill Sans"/>
    </font>
    <font>
      <i val="1"/>
      <u val="single"/>
      <sz val="12"/>
      <color indexed="8"/>
      <name val="Calibri"/>
    </font>
    <font>
      <sz val="13"/>
      <color indexed="8"/>
      <name val="Calibri"/>
    </font>
    <font>
      <sz val="16"/>
      <color indexed="8"/>
      <name val="Calibri"/>
    </font>
    <font>
      <sz val="9"/>
      <color indexed="12"/>
      <name val="Gill Sans Light"/>
    </font>
    <font>
      <u val="single"/>
      <sz val="12"/>
      <color indexed="8"/>
      <name val="Gill Sans Light"/>
    </font>
    <font>
      <i val="1"/>
      <u val="single"/>
      <sz val="12"/>
      <color indexed="8"/>
      <name val="Gill Sans Light"/>
    </font>
    <font>
      <u val="single"/>
      <sz val="9"/>
      <color indexed="8"/>
      <name val="Gill Sans Light"/>
    </font>
    <font>
      <u val="single"/>
      <sz val="9"/>
      <color indexed="8"/>
      <name val="Gill Sans SemiBold"/>
    </font>
    <font>
      <u val="single"/>
      <sz val="9"/>
      <color indexed="12"/>
      <name val="Gill Sans SemiBold"/>
    </font>
    <font>
      <u val="single"/>
      <sz val="12"/>
      <color indexed="8"/>
      <name val="Gill Sans"/>
    </font>
    <font>
      <b val="1"/>
      <u val="single"/>
      <sz val="9"/>
      <color indexed="8"/>
      <name val="Gill Sans"/>
    </font>
    <font>
      <i val="1"/>
      <u val="single"/>
      <sz val="9"/>
      <color indexed="8"/>
      <name val="Gill Sans"/>
    </font>
    <font>
      <b val="1"/>
      <sz val="12"/>
      <color indexed="8"/>
      <name val="Gill Sans"/>
    </font>
    <font>
      <sz val="9"/>
      <color indexed="12"/>
      <name val="Gill Sans"/>
    </font>
    <font>
      <sz val="14"/>
      <color indexed="8"/>
      <name val="Gill Sans SemiBold"/>
    </font>
    <font>
      <b val="1"/>
      <i val="1"/>
      <sz val="9"/>
      <color indexed="8"/>
      <name val="Gill Sans"/>
    </font>
    <font>
      <b val="1"/>
      <sz val="9"/>
      <color indexed="8"/>
      <name val="Gill Sans"/>
    </font>
    <font>
      <b val="1"/>
      <sz val="9"/>
      <color indexed="12"/>
      <name val="Gill Sans"/>
    </font>
    <font>
      <u val="single"/>
      <sz val="14"/>
      <color indexed="8"/>
      <name val="Gill Sans"/>
    </font>
    <font>
      <b val="1"/>
      <sz val="11"/>
      <color indexed="15"/>
      <name val="Gill Sans"/>
    </font>
    <font>
      <u val="single"/>
      <sz val="9"/>
      <color indexed="12"/>
      <name val="Gill Sans"/>
    </font>
    <font>
      <sz val="14"/>
      <color indexed="8"/>
      <name val="Gill Sans Light"/>
    </font>
    <font>
      <sz val="8"/>
      <color indexed="8"/>
      <name val="Gill Sans SemiBold"/>
    </font>
    <font>
      <i val="1"/>
      <sz val="8"/>
      <color indexed="8"/>
      <name val="Gill Sans"/>
    </font>
  </fonts>
  <fills count="9">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gradientFill type="linear" degree="270">
        <stop position="0">
          <color rgb="ffa2c3ff"/>
        </stop>
        <stop position="0.35">
          <color rgb="ffbdd3ff"/>
        </stop>
        <stop position="1">
          <color rgb="ffe5eeff"/>
        </stop>
      </gradientFill>
    </fill>
    <fill>
      <patternFill patternType="solid">
        <fgColor indexed="14"/>
        <bgColor auto="1"/>
      </patternFill>
    </fill>
    <fill>
      <patternFill patternType="solid">
        <fgColor indexed="16"/>
        <bgColor auto="1"/>
      </patternFill>
    </fill>
    <fill>
      <patternFill patternType="solid">
        <fgColor indexed="17"/>
        <bgColor auto="1"/>
      </patternFill>
    </fill>
  </fills>
  <borders count="88">
    <border>
      <left/>
      <right/>
      <top/>
      <bottom/>
      <diagonal/>
    </border>
    <border>
      <left/>
      <right/>
      <top/>
      <bottom/>
      <diagonal/>
    </border>
    <border>
      <left/>
      <right/>
      <top/>
      <bottom>
        <color indexed="8"/>
      </bottom>
      <diagonal/>
    </border>
    <border>
      <left/>
      <right/>
      <top>
        <color indexed="8"/>
      </top>
      <bottom style="thin">
        <color indexed="8"/>
      </bottom>
      <diagonal/>
    </border>
    <border>
      <left/>
      <right/>
      <top>
        <color indexed="8"/>
      </top>
      <bottom/>
      <diagonal/>
    </border>
    <border>
      <left/>
      <right/>
      <top style="thin">
        <color indexed="8"/>
      </top>
      <bottom/>
      <diagonal/>
    </border>
    <border>
      <left/>
      <right/>
      <top/>
      <bottom style="thin">
        <color indexed="8"/>
      </bottom>
      <diagonal/>
    </border>
    <border>
      <left/>
      <right/>
      <top/>
      <bottom style="dotted">
        <color indexed="13"/>
      </bottom>
      <diagonal/>
    </border>
    <border>
      <left/>
      <right/>
      <top style="dotted">
        <color indexed="13"/>
      </top>
      <bottom>
        <color indexed="8"/>
      </bottom>
      <diagonal/>
    </border>
    <border>
      <left/>
      <right/>
      <top style="thin">
        <color indexed="8"/>
      </top>
      <bottom>
        <color indexed="8"/>
      </bottom>
      <diagonal/>
    </border>
    <border>
      <left/>
      <right/>
      <top>
        <color indexed="8"/>
      </top>
      <bottom>
        <color indexed="8"/>
      </bottom>
      <diagonal/>
    </border>
    <border>
      <left/>
      <right>
        <color indexed="8"/>
      </right>
      <top/>
      <bottom/>
      <diagonal/>
    </border>
    <border>
      <left>
        <color indexed="8"/>
      </left>
      <right>
        <color indexed="8"/>
      </right>
      <top>
        <color indexed="8"/>
      </top>
      <bottom>
        <color indexed="8"/>
      </bottom>
      <diagonal/>
    </border>
    <border>
      <left>
        <color indexed="8"/>
      </left>
      <right/>
      <top>
        <color indexed="8"/>
      </top>
      <bottom/>
      <diagonal/>
    </border>
    <border>
      <left>
        <color indexed="8"/>
      </left>
      <right/>
      <top/>
      <bottom/>
      <diagonal/>
    </border>
    <border>
      <left/>
      <right>
        <color indexed="8"/>
      </right>
      <top/>
      <bottom style="dotted">
        <color indexed="13"/>
      </bottom>
      <diagonal/>
    </border>
    <border>
      <left>
        <color indexed="8"/>
      </left>
      <right>
        <color indexed="8"/>
      </right>
      <top>
        <color indexed="8"/>
      </top>
      <bottom style="dotted">
        <color indexed="13"/>
      </bottom>
      <diagonal/>
    </border>
    <border>
      <left>
        <color indexed="8"/>
      </left>
      <right/>
      <top/>
      <bottom style="dotted">
        <color indexed="13"/>
      </bottom>
      <diagonal/>
    </border>
    <border>
      <left/>
      <right/>
      <top>
        <color indexed="8"/>
      </top>
      <bottom style="dotted">
        <color indexed="8"/>
      </bottom>
      <diagonal/>
    </border>
    <border>
      <left/>
      <right/>
      <top style="dotted">
        <color indexed="8"/>
      </top>
      <bottom style="thin">
        <color indexed="8"/>
      </bottom>
      <diagonal/>
    </border>
    <border>
      <left/>
      <right/>
      <top style="dotted">
        <color indexed="8"/>
      </top>
      <bottom/>
      <diagonal/>
    </border>
    <border>
      <left/>
      <right/>
      <top>
        <color indexed="8"/>
      </top>
      <bottom style="dotted">
        <color indexed="13"/>
      </bottom>
      <diagonal/>
    </border>
    <border>
      <left/>
      <right/>
      <top style="dotted">
        <color indexed="8"/>
      </top>
      <bottom>
        <color indexed="8"/>
      </bottom>
      <diagonal/>
    </border>
    <border>
      <left/>
      <right>
        <color indexed="8"/>
      </right>
      <top>
        <color indexed="8"/>
      </top>
      <bottom/>
      <diagonal/>
    </border>
    <border>
      <left>
        <color indexed="8"/>
      </left>
      <right>
        <color indexed="8"/>
      </right>
      <top>
        <color indexed="8"/>
      </top>
      <bottom/>
      <diagonal/>
    </border>
    <border>
      <left>
        <color indexed="8"/>
      </left>
      <right>
        <color indexed="8"/>
      </right>
      <top/>
      <bottom/>
      <diagonal/>
    </border>
    <border>
      <left>
        <color indexed="8"/>
      </left>
      <right/>
      <top/>
      <bottom>
        <color indexed="8"/>
      </bottom>
      <diagonal/>
    </border>
    <border>
      <left>
        <color indexed="8"/>
      </left>
      <right/>
      <top/>
      <bottom style="thin">
        <color indexed="8"/>
      </bottom>
      <diagonal/>
    </border>
    <border>
      <left>
        <color indexed="8"/>
      </left>
      <right/>
      <top style="thin">
        <color indexed="8"/>
      </top>
      <bottom/>
      <diagonal/>
    </border>
    <border>
      <left>
        <color indexed="8"/>
      </left>
      <right>
        <color indexed="8"/>
      </right>
      <top>
        <color indexed="8"/>
      </top>
      <bottom style="dotted">
        <color indexed="8"/>
      </bottom>
      <diagonal/>
    </border>
    <border>
      <left>
        <color indexed="8"/>
      </left>
      <right/>
      <top/>
      <bottom style="dotted">
        <color indexed="8"/>
      </bottom>
      <diagonal/>
    </border>
    <border>
      <left>
        <color indexed="8"/>
      </left>
      <right>
        <color indexed="8"/>
      </right>
      <top style="dotted">
        <color indexed="8"/>
      </top>
      <bottom>
        <color indexed="8"/>
      </bottom>
      <diagonal/>
    </border>
    <border>
      <left>
        <color indexed="8"/>
      </left>
      <right/>
      <top style="dotted">
        <color indexed="8"/>
      </top>
      <bottom>
        <color indexed="8"/>
      </bottom>
      <diagonal/>
    </border>
    <border>
      <left/>
      <right>
        <color indexed="8"/>
      </right>
      <top style="thin">
        <color indexed="8"/>
      </top>
      <bottom/>
      <diagonal/>
    </border>
    <border>
      <left>
        <color indexed="8"/>
      </left>
      <right>
        <color indexed="8"/>
      </right>
      <top style="thin">
        <color indexed="8"/>
      </top>
      <bottom>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13"/>
      </bottom>
      <diagonal/>
    </border>
    <border>
      <left style="thin">
        <color indexed="8"/>
      </left>
      <right style="thin">
        <color indexed="8"/>
      </right>
      <top/>
      <bottom style="thin">
        <color indexed="8"/>
      </bottom>
      <diagonal/>
    </border>
    <border>
      <left style="thin">
        <color indexed="13"/>
      </left>
      <right style="thin">
        <color indexed="13"/>
      </right>
      <top style="thin">
        <color indexed="13"/>
      </top>
      <bottom/>
      <diagonal/>
    </border>
    <border>
      <left style="thin">
        <color indexed="13"/>
      </left>
      <right style="thin">
        <color indexed="13"/>
      </right>
      <top style="thin">
        <color indexed="8"/>
      </top>
      <bottom/>
      <diagonal/>
    </border>
    <border>
      <left style="thin">
        <color indexed="13"/>
      </left>
      <right style="thin">
        <color indexed="13"/>
      </right>
      <top/>
      <bottom/>
      <diagonal/>
    </border>
    <border>
      <left style="thin">
        <color indexed="13"/>
      </left>
      <right style="thin">
        <color indexed="8"/>
      </right>
      <top/>
      <bottom/>
      <diagonal/>
    </border>
    <border>
      <left style="thin">
        <color indexed="8"/>
      </left>
      <right style="thin">
        <color indexed="13"/>
      </right>
      <top/>
      <bottom/>
      <diagonal/>
    </border>
    <border>
      <left style="thin">
        <color indexed="13"/>
      </left>
      <right style="thin">
        <color indexed="13"/>
      </right>
      <top/>
      <bottom style="thin">
        <color indexed="8"/>
      </bottom>
      <diagonal/>
    </border>
    <border>
      <left style="thin">
        <color indexed="13"/>
      </left>
      <right style="thin">
        <color indexed="13"/>
      </right>
      <top style="thin">
        <color indexed="8"/>
      </top>
      <bottom>
        <color indexed="8"/>
      </bottom>
      <diagonal/>
    </border>
    <border>
      <left style="thin">
        <color indexed="13"/>
      </left>
      <right style="thin">
        <color indexed="13"/>
      </right>
      <top>
        <color indexed="8"/>
      </top>
      <bottom>
        <color indexed="8"/>
      </bottom>
      <diagonal/>
    </border>
    <border>
      <left style="thin">
        <color indexed="13"/>
      </left>
      <right style="thin">
        <color indexed="13"/>
      </right>
      <top>
        <color indexed="8"/>
      </top>
      <bottom/>
      <diagonal/>
    </border>
    <border>
      <left style="thin">
        <color indexed="13"/>
      </left>
      <right style="thin">
        <color indexed="8"/>
      </right>
      <top/>
      <bottom style="thin">
        <color indexed="8"/>
      </bottom>
      <diagonal/>
    </border>
    <border>
      <left style="thin">
        <color indexed="8"/>
      </left>
      <right style="thin">
        <color indexed="13"/>
      </right>
      <top/>
      <bottom style="thin">
        <color indexed="8"/>
      </bottom>
      <diagonal/>
    </border>
    <border>
      <left style="thin">
        <color indexed="13"/>
      </left>
      <right style="thin">
        <color indexed="13"/>
      </right>
      <top style="thin">
        <color indexed="8"/>
      </top>
      <bottom style="thin">
        <color indexed="8"/>
      </bottom>
      <diagonal/>
    </border>
    <border>
      <left style="thin">
        <color indexed="13"/>
      </left>
      <right style="thin">
        <color indexed="13"/>
      </right>
      <top>
        <color indexed="8"/>
      </top>
      <bottom style="thin">
        <color indexed="8"/>
      </bottom>
      <diagonal/>
    </border>
    <border>
      <left style="thin">
        <color indexed="13"/>
      </left>
      <right style="thin">
        <color indexed="13"/>
      </right>
      <top/>
      <bottom style="thin">
        <color indexed="13"/>
      </bottom>
      <diagonal/>
    </border>
    <border>
      <left style="thin">
        <color indexed="13"/>
      </left>
      <right style="thin">
        <color indexed="13"/>
      </right>
      <top style="thin">
        <color indexed="8"/>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color indexed="8"/>
      </bottom>
      <diagonal/>
    </border>
    <border>
      <left style="thin">
        <color indexed="13"/>
      </left>
      <right style="thin">
        <color indexed="13"/>
      </right>
      <top style="thin">
        <color indexed="13"/>
      </top>
      <bottom style="thin">
        <color indexed="8"/>
      </bottom>
      <diagonal/>
    </border>
    <border>
      <left/>
      <right/>
      <top style="thin">
        <color indexed="13"/>
      </top>
      <bottom style="dotted">
        <color indexed="8"/>
      </bottom>
      <diagonal/>
    </border>
    <border>
      <left/>
      <right/>
      <top style="thin">
        <color indexed="8"/>
      </top>
      <bottom style="dotted">
        <color indexed="8"/>
      </bottom>
      <diagonal/>
    </border>
    <border>
      <left/>
      <right/>
      <top>
        <color indexed="8"/>
      </top>
      <bottom style="thin">
        <color indexed="13"/>
      </bottom>
      <diagonal/>
    </border>
    <border>
      <left style="thin">
        <color indexed="8"/>
      </left>
      <right style="thin">
        <color indexed="8"/>
      </right>
      <top style="thin">
        <color indexed="13"/>
      </top>
      <bottom/>
      <diagonal/>
    </border>
    <border>
      <left style="thin">
        <color indexed="8"/>
      </left>
      <right style="thin">
        <color indexed="8"/>
      </right>
      <top>
        <color indexed="8"/>
      </top>
      <bottom/>
      <diagonal/>
    </border>
    <border>
      <left style="thin">
        <color indexed="8"/>
      </left>
      <right style="thin">
        <color indexed="8"/>
      </right>
      <top>
        <color indexed="8"/>
      </top>
      <bottom>
        <color indexed="8"/>
      </bottom>
      <diagonal/>
    </border>
    <border>
      <left style="thin">
        <color indexed="13"/>
      </left>
      <right style="thin">
        <color indexed="8"/>
      </right>
      <top style="thin">
        <color indexed="8"/>
      </top>
      <bottom>
        <color indexed="8"/>
      </bottom>
      <diagonal/>
    </border>
    <border>
      <left style="thin">
        <color indexed="8"/>
      </left>
      <right style="thin">
        <color indexed="8"/>
      </right>
      <top style="thin">
        <color indexed="8"/>
      </top>
      <bottom>
        <color indexed="8"/>
      </bottom>
      <diagonal/>
    </border>
    <border>
      <left style="thin">
        <color indexed="8"/>
      </left>
      <right style="thin">
        <color indexed="13"/>
      </right>
      <top>
        <color indexed="8"/>
      </top>
      <bottom>
        <color indexed="8"/>
      </bottom>
      <diagonal/>
    </border>
    <border>
      <left style="thin">
        <color indexed="13"/>
      </left>
      <right style="thin">
        <color indexed="8"/>
      </right>
      <top/>
      <bottom style="thin">
        <color indexed="13"/>
      </bottom>
      <diagonal/>
    </border>
    <border>
      <left style="thin">
        <color indexed="8"/>
      </left>
      <right style="thin">
        <color indexed="13"/>
      </right>
      <top>
        <color indexed="8"/>
      </top>
      <bottom style="thin">
        <color indexed="13"/>
      </bottom>
      <diagonal/>
    </border>
    <border>
      <left style="thin">
        <color indexed="13"/>
      </left>
      <right style="thin">
        <color indexed="13"/>
      </right>
      <top/>
      <bottom>
        <color indexed="8"/>
      </bottom>
      <diagonal/>
    </border>
    <border>
      <left style="thin">
        <color indexed="13"/>
      </left>
      <right style="thin">
        <color indexed="8"/>
      </right>
      <top style="thin">
        <color indexed="13"/>
      </top>
      <bottom style="thin">
        <color indexed="13"/>
      </bottom>
      <diagonal/>
    </border>
    <border>
      <left style="thin">
        <color indexed="8"/>
      </left>
      <right style="thin">
        <color indexed="8"/>
      </right>
      <top style="thin">
        <color indexed="13"/>
      </top>
      <bottom style="thin">
        <color indexed="13"/>
      </bottom>
      <diagonal/>
    </border>
    <border>
      <left style="thin">
        <color indexed="8"/>
      </left>
      <right style="thin">
        <color indexed="18"/>
      </right>
      <top style="thin">
        <color indexed="13"/>
      </top>
      <bottom style="thin">
        <color indexed="13"/>
      </bottom>
      <diagonal/>
    </border>
    <border>
      <left style="thin">
        <color indexed="18"/>
      </left>
      <right style="thin">
        <color indexed="18"/>
      </right>
      <top/>
      <bottom/>
      <diagonal/>
    </border>
    <border>
      <left style="thin">
        <color indexed="18"/>
      </left>
      <right style="thin">
        <color indexed="18"/>
      </right>
      <top>
        <color indexed="8"/>
      </top>
      <bottom>
        <color indexed="8"/>
      </bottom>
      <diagonal/>
    </border>
    <border>
      <left style="thin">
        <color indexed="13"/>
      </left>
      <right style="thin">
        <color indexed="13"/>
      </right>
      <top>
        <color indexed="8"/>
      </top>
      <bottom style="thin">
        <color indexed="13"/>
      </bottom>
      <diagonal/>
    </border>
    <border>
      <left>
        <color indexed="8"/>
      </left>
      <right>
        <color indexed="8"/>
      </right>
      <top style="thin">
        <color indexed="13"/>
      </top>
      <bottom>
        <color indexed="8"/>
      </bottom>
      <diagonal/>
    </border>
    <border>
      <left>
        <color indexed="8"/>
      </left>
      <right/>
      <top style="thin">
        <color indexed="13"/>
      </top>
      <bottom/>
      <diagonal/>
    </border>
    <border>
      <left/>
      <right/>
      <top style="thin">
        <color indexed="13"/>
      </top>
      <bottom/>
      <diagonal/>
    </border>
    <border>
      <left>
        <color indexed="8"/>
      </left>
      <right/>
      <top style="dotted">
        <color indexed="8"/>
      </top>
      <bottom/>
      <diagonal/>
    </border>
    <border>
      <left>
        <color indexed="8"/>
      </left>
      <right/>
      <top style="thin">
        <color indexed="8"/>
      </top>
      <bottom>
        <color indexed="8"/>
      </bottom>
      <diagonal/>
    </border>
    <border>
      <left>
        <color indexed="8"/>
      </left>
      <right/>
      <top>
        <color indexed="8"/>
      </top>
      <bottom>
        <color indexed="8"/>
      </bottom>
      <diagonal/>
    </border>
    <border>
      <left>
        <color indexed="8"/>
      </left>
      <right/>
      <top>
        <color indexed="8"/>
      </top>
      <bottom style="dotted">
        <color indexed="8"/>
      </bottom>
      <diagonal/>
    </border>
    <border>
      <left>
        <color indexed="8"/>
      </left>
      <right>
        <color indexed="8"/>
      </right>
      <top/>
      <bottom>
        <color indexed="8"/>
      </bottom>
      <diagonal/>
    </border>
    <border>
      <left/>
      <right>
        <color indexed="8"/>
      </right>
      <top>
        <color indexed="8"/>
      </top>
      <bottom>
        <color indexed="8"/>
      </bottom>
      <diagonal/>
    </border>
    <border>
      <left/>
      <right>
        <color indexed="8"/>
      </right>
      <top>
        <color indexed="8"/>
      </top>
      <bottom style="dotted">
        <color indexed="8"/>
      </bottom>
      <diagonal/>
    </border>
    <border>
      <left>
        <color indexed="8"/>
      </left>
      <right/>
      <top>
        <color indexed="8"/>
      </top>
      <bottom style="thin">
        <color indexed="8"/>
      </bottom>
      <diagonal/>
    </border>
    <border>
      <left/>
      <right>
        <color indexed="8"/>
      </right>
      <top>
        <color indexed="8"/>
      </top>
      <bottom style="thin">
        <color indexed="8"/>
      </bottom>
      <diagonal/>
    </border>
    <border>
      <left/>
      <right/>
      <top/>
      <bottom style="dotted">
        <color indexed="8"/>
      </bottom>
      <diagonal/>
    </border>
  </borders>
  <cellStyleXfs count="1">
    <xf numFmtId="0" fontId="0" applyNumberFormat="0" applyFont="1" applyFill="0" applyBorder="0" applyAlignment="1" applyProtection="0">
      <alignment vertical="bottom"/>
    </xf>
  </cellStyleXfs>
  <cellXfs count="583">
    <xf numFmtId="0" fontId="0" applyNumberFormat="0" applyFont="1" applyFill="0" applyBorder="0" applyAlignment="1" applyProtection="0">
      <alignment vertical="bottom"/>
    </xf>
    <xf numFmtId="0" fontId="0" applyNumberFormat="0" applyFont="1" applyFill="0" applyBorder="0" applyAlignment="1" applyProtection="0">
      <alignment horizontal="left" vertical="bottom" wrapText="1"/>
    </xf>
    <xf numFmtId="0" fontId="1" applyNumberFormat="0" applyFont="1" applyFill="0" applyBorder="0" applyAlignment="1" applyProtection="0">
      <alignment horizontal="left" vertical="bottom"/>
    </xf>
    <xf numFmtId="0" fontId="0" fillId="2" applyNumberFormat="0" applyFont="1" applyFill="1" applyBorder="0" applyAlignment="1" applyProtection="0">
      <alignment horizontal="left" vertical="bottom"/>
    </xf>
    <xf numFmtId="0" fontId="0" fillId="3" applyNumberFormat="0" applyFont="1" applyFill="1" applyBorder="0" applyAlignment="1" applyProtection="0">
      <alignment horizontal="left" vertical="bottom"/>
    </xf>
    <xf numFmtId="0" fontId="6"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8" borderId="1" applyNumberFormat="1" applyFont="1" applyFill="0" applyBorder="1" applyAlignment="1" applyProtection="0">
      <alignment vertical="bottom"/>
    </xf>
    <xf numFmtId="3" fontId="0"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59" fontId="0" borderId="1" applyNumberFormat="1" applyFont="1" applyFill="0" applyBorder="1" applyAlignment="1" applyProtection="0">
      <alignment vertical="bottom"/>
    </xf>
    <xf numFmtId="49" fontId="9" borderId="1" applyNumberFormat="1" applyFont="1" applyFill="0" applyBorder="1" applyAlignment="1" applyProtection="0">
      <alignment vertical="center"/>
    </xf>
    <xf numFmtId="0" fontId="11" borderId="1" applyNumberFormat="0" applyFont="1" applyFill="0" applyBorder="1" applyAlignment="1" applyProtection="0">
      <alignment horizontal="left" vertical="bottom"/>
    </xf>
    <xf numFmtId="0" fontId="11" borderId="1" applyNumberFormat="0" applyFont="1" applyFill="0" applyBorder="1" applyAlignment="1" applyProtection="0">
      <alignment horizontal="center" vertical="bottom"/>
    </xf>
    <xf numFmtId="0" fontId="11" borderId="1" applyNumberFormat="0" applyFont="1" applyFill="0" applyBorder="1" applyAlignment="1" applyProtection="0">
      <alignment horizontal="right" vertical="bottom"/>
    </xf>
    <xf numFmtId="49" fontId="11" borderId="1" applyNumberFormat="1" applyFont="1" applyFill="0" applyBorder="1" applyAlignment="1" applyProtection="0">
      <alignment horizontal="left" vertical="bottom"/>
    </xf>
    <xf numFmtId="49" fontId="11" borderId="1" applyNumberFormat="1" applyFont="1" applyFill="0" applyBorder="1" applyAlignment="1" applyProtection="0">
      <alignment horizontal="center" vertical="bottom"/>
    </xf>
    <xf numFmtId="0" fontId="12" fillId="4" borderId="2" applyNumberFormat="0" applyFont="1" applyFill="1" applyBorder="1" applyAlignment="1" applyProtection="0">
      <alignment vertical="bottom"/>
    </xf>
    <xf numFmtId="3" fontId="12" fillId="4" borderId="2" applyNumberFormat="1" applyFont="1" applyFill="1" applyBorder="1" applyAlignment="1" applyProtection="0">
      <alignment horizontal="center" vertical="bottom"/>
    </xf>
    <xf numFmtId="0" fontId="12" fillId="4" borderId="2" applyNumberFormat="0" applyFont="1" applyFill="1" applyBorder="1" applyAlignment="1" applyProtection="0">
      <alignment horizontal="center" vertical="bottom"/>
    </xf>
    <xf numFmtId="59" fontId="12" fillId="4" borderId="2" applyNumberFormat="1" applyFont="1" applyFill="1" applyBorder="1" applyAlignment="1" applyProtection="0">
      <alignment horizontal="center" vertical="bottom"/>
    </xf>
    <xf numFmtId="60" fontId="12" fillId="4" borderId="2" applyNumberFormat="1" applyFont="1" applyFill="1" applyBorder="1" applyAlignment="1" applyProtection="0">
      <alignment horizontal="right" vertical="bottom"/>
    </xf>
    <xf numFmtId="49" fontId="13" fillId="4" borderId="3" applyNumberFormat="1" applyFont="1" applyFill="1" applyBorder="1" applyAlignment="1" applyProtection="0">
      <alignment vertical="bottom"/>
    </xf>
    <xf numFmtId="3" fontId="13" fillId="4" borderId="3" applyNumberFormat="1" applyFont="1" applyFill="1" applyBorder="1" applyAlignment="1" applyProtection="0">
      <alignment horizontal="center" vertical="bottom"/>
    </xf>
    <xf numFmtId="0" fontId="13" fillId="4" borderId="3" applyNumberFormat="0" applyFont="1" applyFill="1" applyBorder="1" applyAlignment="1" applyProtection="0">
      <alignment horizontal="center" vertical="bottom"/>
    </xf>
    <xf numFmtId="60" fontId="13" fillId="4" borderId="3" applyNumberFormat="1" applyFont="1" applyFill="1" applyBorder="1" applyAlignment="1" applyProtection="0">
      <alignment horizontal="center" vertical="bottom"/>
    </xf>
    <xf numFmtId="61" fontId="13" fillId="4" borderId="3" applyNumberFormat="1" applyFont="1" applyFill="1" applyBorder="1" applyAlignment="1" applyProtection="0">
      <alignment horizontal="right" vertical="bottom"/>
    </xf>
    <xf numFmtId="59" fontId="15" fillId="5" borderId="3" applyNumberFormat="1" applyFont="1" applyFill="1" applyBorder="1" applyAlignment="1" applyProtection="0">
      <alignment horizontal="right" vertical="bottom"/>
    </xf>
    <xf numFmtId="59" fontId="15" fillId="4" borderId="3" applyNumberFormat="1" applyFont="1" applyFill="1" applyBorder="1" applyAlignment="1" applyProtection="0">
      <alignment horizontal="center" vertical="bottom"/>
    </xf>
    <xf numFmtId="60" fontId="12" fillId="4" borderId="4" applyNumberFormat="1" applyFont="1" applyFill="1" applyBorder="1" applyAlignment="1" applyProtection="0">
      <alignment horizontal="right" vertical="bottom"/>
    </xf>
    <xf numFmtId="59" fontId="15" fillId="4" borderId="3" applyNumberFormat="1" applyFont="1" applyFill="1" applyBorder="1" applyAlignment="1" applyProtection="0">
      <alignment horizontal="right" vertical="bottom"/>
    </xf>
    <xf numFmtId="59" fontId="13" fillId="4" borderId="3" applyNumberFormat="1" applyFont="1" applyFill="1" applyBorder="1" applyAlignment="1" applyProtection="0">
      <alignment horizontal="right" vertical="bottom"/>
    </xf>
    <xf numFmtId="49" fontId="16" fillId="4" borderId="5" applyNumberFormat="1" applyFont="1" applyFill="1" applyBorder="1" applyAlignment="1" applyProtection="0">
      <alignment horizontal="left" vertical="bottom"/>
    </xf>
    <xf numFmtId="3" fontId="16" fillId="4" borderId="5" applyNumberFormat="1" applyFont="1" applyFill="1" applyBorder="1" applyAlignment="1" applyProtection="0">
      <alignment horizontal="center" vertical="bottom"/>
    </xf>
    <xf numFmtId="49" fontId="16" fillId="4" borderId="5" applyNumberFormat="1" applyFont="1" applyFill="1" applyBorder="1" applyAlignment="1" applyProtection="0">
      <alignment horizontal="center" vertical="bottom"/>
    </xf>
    <xf numFmtId="60" fontId="16" fillId="4" borderId="5" applyNumberFormat="1" applyFont="1" applyFill="1" applyBorder="1" applyAlignment="1" applyProtection="0">
      <alignment horizontal="center" vertical="bottom"/>
    </xf>
    <xf numFmtId="59" fontId="16" fillId="4" borderId="5" applyNumberFormat="1" applyFont="1" applyFill="1" applyBorder="1" applyAlignment="1" applyProtection="0">
      <alignment horizontal="right" vertical="bottom"/>
    </xf>
    <xf numFmtId="59" fontId="4" fillId="4" borderId="5" applyNumberFormat="1" applyFont="1" applyFill="1" applyBorder="1" applyAlignment="1" applyProtection="0">
      <alignment horizontal="right" vertical="bottom"/>
    </xf>
    <xf numFmtId="49" fontId="4" fillId="4" borderId="5" applyNumberFormat="1" applyFont="1" applyFill="1" applyBorder="1" applyAlignment="1" applyProtection="0">
      <alignment horizontal="center" vertical="bottom"/>
    </xf>
    <xf numFmtId="60" fontId="12" fillId="4" borderId="1" applyNumberFormat="1" applyFont="1" applyFill="1" applyBorder="1" applyAlignment="1" applyProtection="0">
      <alignment horizontal="right" vertical="bottom"/>
    </xf>
    <xf numFmtId="49" fontId="16" fillId="4" borderId="1" applyNumberFormat="1" applyFont="1" applyFill="1" applyBorder="1" applyAlignment="1" applyProtection="0">
      <alignment horizontal="left" vertical="bottom"/>
    </xf>
    <xf numFmtId="3" fontId="16" fillId="4" borderId="1" applyNumberFormat="1" applyFont="1" applyFill="1" applyBorder="1" applyAlignment="1" applyProtection="0">
      <alignment horizontal="center" vertical="bottom"/>
    </xf>
    <xf numFmtId="49" fontId="16" fillId="4" borderId="1" applyNumberFormat="1" applyFont="1" applyFill="1" applyBorder="1" applyAlignment="1" applyProtection="0">
      <alignment horizontal="center" vertical="bottom"/>
    </xf>
    <xf numFmtId="60" fontId="16" fillId="4" borderId="1" applyNumberFormat="1" applyFont="1" applyFill="1" applyBorder="1" applyAlignment="1" applyProtection="0">
      <alignment horizontal="center" vertical="center"/>
    </xf>
    <xf numFmtId="60" fontId="16" fillId="4" borderId="1" applyNumberFormat="1" applyFont="1" applyFill="1" applyBorder="1" applyAlignment="1" applyProtection="0">
      <alignment horizontal="center" vertical="bottom"/>
    </xf>
    <xf numFmtId="59" fontId="16" fillId="4" borderId="1" applyNumberFormat="1" applyFont="1" applyFill="1" applyBorder="1" applyAlignment="1" applyProtection="0">
      <alignment horizontal="right" vertical="bottom"/>
    </xf>
    <xf numFmtId="59" fontId="4" fillId="4" borderId="1" applyNumberFormat="1" applyFont="1" applyFill="1" applyBorder="1" applyAlignment="1" applyProtection="0">
      <alignment horizontal="right" vertical="bottom"/>
    </xf>
    <xf numFmtId="49" fontId="4" fillId="4" borderId="1" applyNumberFormat="1" applyFont="1" applyFill="1" applyBorder="1" applyAlignment="1" applyProtection="0">
      <alignment horizontal="center" vertical="bottom"/>
    </xf>
    <xf numFmtId="0" fontId="16" fillId="4" borderId="1" applyNumberFormat="0" applyFont="1" applyFill="1" applyBorder="1" applyAlignment="1" applyProtection="0">
      <alignment horizontal="left" vertical="bottom"/>
    </xf>
    <xf numFmtId="0" fontId="16" fillId="4" borderId="1" applyNumberFormat="0" applyFont="1" applyFill="1" applyBorder="1" applyAlignment="1" applyProtection="0">
      <alignment horizontal="center" vertical="bottom"/>
    </xf>
    <xf numFmtId="0" fontId="4" fillId="4" borderId="1" applyNumberFormat="0" applyFont="1" applyFill="1" applyBorder="1" applyAlignment="1" applyProtection="0">
      <alignment horizontal="center" vertical="bottom"/>
    </xf>
    <xf numFmtId="49" fontId="13" fillId="4" borderId="6" applyNumberFormat="1" applyFont="1" applyFill="1" applyBorder="1" applyAlignment="1" applyProtection="0">
      <alignment vertical="bottom"/>
    </xf>
    <xf numFmtId="3" fontId="13" fillId="4" borderId="6" applyNumberFormat="1" applyFont="1" applyFill="1" applyBorder="1" applyAlignment="1" applyProtection="0">
      <alignment horizontal="center" vertical="bottom"/>
    </xf>
    <xf numFmtId="0" fontId="13" fillId="4" borderId="6" applyNumberFormat="0" applyFont="1" applyFill="1" applyBorder="1" applyAlignment="1" applyProtection="0">
      <alignment horizontal="center" vertical="bottom"/>
    </xf>
    <xf numFmtId="60" fontId="13" fillId="4" borderId="6" applyNumberFormat="1" applyFont="1" applyFill="1" applyBorder="1" applyAlignment="1" applyProtection="0">
      <alignment horizontal="center" vertical="bottom"/>
    </xf>
    <xf numFmtId="61" fontId="13" fillId="4" borderId="6" applyNumberFormat="1" applyFont="1" applyFill="1" applyBorder="1" applyAlignment="1" applyProtection="0">
      <alignment horizontal="right" vertical="bottom"/>
    </xf>
    <xf numFmtId="59" fontId="15" fillId="5" borderId="6" applyNumberFormat="1" applyFont="1" applyFill="1" applyBorder="1" applyAlignment="1" applyProtection="0">
      <alignment horizontal="right" vertical="bottom"/>
    </xf>
    <xf numFmtId="59" fontId="15" fillId="4" borderId="6" applyNumberFormat="1" applyFont="1" applyFill="1" applyBorder="1" applyAlignment="1" applyProtection="0">
      <alignment horizontal="center" vertical="bottom"/>
    </xf>
    <xf numFmtId="59" fontId="15" fillId="4" borderId="6" applyNumberFormat="1" applyFont="1" applyFill="1" applyBorder="1" applyAlignment="1" applyProtection="0">
      <alignment horizontal="right" vertical="bottom"/>
    </xf>
    <xf numFmtId="59" fontId="13" fillId="4" borderId="6" applyNumberFormat="1" applyFont="1" applyFill="1" applyBorder="1" applyAlignment="1" applyProtection="0">
      <alignment horizontal="right" vertical="bottom"/>
    </xf>
    <xf numFmtId="62" fontId="16" fillId="4" borderId="1" applyNumberFormat="1" applyFont="1" applyFill="1" applyBorder="1" applyAlignment="1" applyProtection="0">
      <alignment horizontal="center" vertical="bottom"/>
    </xf>
    <xf numFmtId="59" fontId="16" fillId="4" borderId="1" applyNumberFormat="1" applyFont="1" applyFill="1" applyBorder="1" applyAlignment="1" applyProtection="0">
      <alignment horizontal="center" vertical="bottom"/>
    </xf>
    <xf numFmtId="59" fontId="12" fillId="4" borderId="1" applyNumberFormat="1" applyFont="1" applyFill="1" applyBorder="1" applyAlignment="1" applyProtection="0">
      <alignment horizontal="center" vertical="bottom"/>
    </xf>
    <xf numFmtId="59" fontId="4" fillId="4" borderId="1" applyNumberFormat="1" applyFont="1" applyFill="1" applyBorder="1" applyAlignment="1" applyProtection="0">
      <alignment horizontal="center" vertical="bottom"/>
    </xf>
    <xf numFmtId="60" fontId="0" fillId="4" borderId="1" applyNumberFormat="1" applyFont="1" applyFill="1" applyBorder="1" applyAlignment="1" applyProtection="0">
      <alignment vertical="bottom"/>
    </xf>
    <xf numFmtId="49" fontId="16" fillId="4" borderId="7" applyNumberFormat="1" applyFont="1" applyFill="1" applyBorder="1" applyAlignment="1" applyProtection="0">
      <alignment horizontal="left" vertical="bottom"/>
    </xf>
    <xf numFmtId="3" fontId="16" fillId="4" borderId="7" applyNumberFormat="1" applyFont="1" applyFill="1" applyBorder="1" applyAlignment="1" applyProtection="0">
      <alignment horizontal="center" vertical="bottom"/>
    </xf>
    <xf numFmtId="49" fontId="16" fillId="4" borderId="7" applyNumberFormat="1" applyFont="1" applyFill="1" applyBorder="1" applyAlignment="1" applyProtection="0">
      <alignment horizontal="center" vertical="bottom"/>
    </xf>
    <xf numFmtId="60" fontId="16" fillId="4" borderId="7" applyNumberFormat="1" applyFont="1" applyFill="1" applyBorder="1" applyAlignment="1" applyProtection="0">
      <alignment horizontal="center" vertical="bottom"/>
    </xf>
    <xf numFmtId="49" fontId="20" fillId="6" borderId="8" applyNumberFormat="1" applyFont="1" applyFill="1" applyBorder="1" applyAlignment="1" applyProtection="0">
      <alignment horizontal="left" vertical="bottom"/>
    </xf>
    <xf numFmtId="3" fontId="20" fillId="6" borderId="8" applyNumberFormat="1" applyFont="1" applyFill="1" applyBorder="1" applyAlignment="1" applyProtection="0">
      <alignment horizontal="center" vertical="bottom"/>
    </xf>
    <xf numFmtId="0" fontId="20" fillId="6" borderId="8" applyNumberFormat="0" applyFont="1" applyFill="1" applyBorder="1" applyAlignment="1" applyProtection="0">
      <alignment horizontal="center" vertical="bottom"/>
    </xf>
    <xf numFmtId="60" fontId="20" fillId="6" borderId="8" applyNumberFormat="1" applyFont="1" applyFill="1" applyBorder="1" applyAlignment="1" applyProtection="0">
      <alignment horizontal="center" vertical="bottom"/>
    </xf>
    <xf numFmtId="49" fontId="20" fillId="6" borderId="4" applyNumberFormat="1" applyFont="1" applyFill="1" applyBorder="1" applyAlignment="1" applyProtection="0">
      <alignment horizontal="left" vertical="bottom"/>
    </xf>
    <xf numFmtId="3" fontId="20" fillId="6" borderId="4" applyNumberFormat="1" applyFont="1" applyFill="1" applyBorder="1" applyAlignment="1" applyProtection="0">
      <alignment horizontal="center" vertical="bottom"/>
    </xf>
    <xf numFmtId="49" fontId="20" fillId="6" borderId="4" applyNumberFormat="1" applyFont="1" applyFill="1" applyBorder="1" applyAlignment="1" applyProtection="0">
      <alignment horizontal="center" vertical="bottom"/>
    </xf>
    <xf numFmtId="60" fontId="20" fillId="6" borderId="4" applyNumberFormat="1" applyFont="1" applyFill="1" applyBorder="1" applyAlignment="1" applyProtection="0">
      <alignment horizontal="center" vertical="bottom"/>
    </xf>
    <xf numFmtId="49" fontId="16" fillId="4" borderId="9" applyNumberFormat="1" applyFont="1" applyFill="1" applyBorder="1" applyAlignment="1" applyProtection="0">
      <alignment horizontal="left" vertical="bottom"/>
    </xf>
    <xf numFmtId="3" fontId="16" fillId="4" borderId="9" applyNumberFormat="1" applyFont="1" applyFill="1" applyBorder="1" applyAlignment="1" applyProtection="0">
      <alignment horizontal="center" vertical="bottom"/>
    </xf>
    <xf numFmtId="49" fontId="16" fillId="4" borderId="9" applyNumberFormat="1" applyFont="1" applyFill="1" applyBorder="1" applyAlignment="1" applyProtection="0">
      <alignment horizontal="center" vertical="bottom"/>
    </xf>
    <xf numFmtId="60" fontId="16" fillId="4" borderId="9" applyNumberFormat="1" applyFont="1" applyFill="1" applyBorder="1" applyAlignment="1" applyProtection="0">
      <alignment horizontal="center" vertical="bottom"/>
    </xf>
    <xf numFmtId="59" fontId="16" fillId="4" borderId="9" applyNumberFormat="1" applyFont="1" applyFill="1" applyBorder="1" applyAlignment="1" applyProtection="0">
      <alignment horizontal="right" vertical="bottom"/>
    </xf>
    <xf numFmtId="59" fontId="4" fillId="4" borderId="9" applyNumberFormat="1" applyFont="1" applyFill="1" applyBorder="1" applyAlignment="1" applyProtection="0">
      <alignment horizontal="right" vertical="bottom"/>
    </xf>
    <xf numFmtId="59" fontId="22" fillId="4" borderId="9" applyNumberFormat="1" applyFont="1" applyFill="1" applyBorder="1" applyAlignment="1" applyProtection="0">
      <alignment horizontal="right" vertical="bottom"/>
    </xf>
    <xf numFmtId="49" fontId="16" fillId="4" borderId="10" applyNumberFormat="1" applyFont="1" applyFill="1" applyBorder="1" applyAlignment="1" applyProtection="0">
      <alignment horizontal="left" vertical="bottom"/>
    </xf>
    <xf numFmtId="3" fontId="16" fillId="4" borderId="4" applyNumberFormat="1" applyFont="1" applyFill="1" applyBorder="1" applyAlignment="1" applyProtection="0">
      <alignment horizontal="center" vertical="bottom"/>
    </xf>
    <xf numFmtId="49" fontId="16" fillId="4" borderId="10" applyNumberFormat="1" applyFont="1" applyFill="1" applyBorder="1" applyAlignment="1" applyProtection="0">
      <alignment horizontal="center" vertical="bottom"/>
    </xf>
    <xf numFmtId="60" fontId="16" fillId="4" borderId="10" applyNumberFormat="1" applyFont="1" applyFill="1" applyBorder="1" applyAlignment="1" applyProtection="0">
      <alignment horizontal="center" vertical="bottom"/>
    </xf>
    <xf numFmtId="59" fontId="16" fillId="4" borderId="10" applyNumberFormat="1" applyFont="1" applyFill="1" applyBorder="1" applyAlignment="1" applyProtection="0">
      <alignment horizontal="right" vertical="bottom"/>
    </xf>
    <xf numFmtId="59" fontId="4" fillId="4" borderId="10" applyNumberFormat="1" applyFont="1" applyFill="1" applyBorder="1" applyAlignment="1" applyProtection="0">
      <alignment horizontal="right" vertical="bottom"/>
    </xf>
    <xf numFmtId="0" fontId="16" fillId="4" borderId="4" applyNumberFormat="0" applyFont="1" applyFill="1" applyBorder="1" applyAlignment="1" applyProtection="0">
      <alignment horizontal="left" vertical="bottom"/>
    </xf>
    <xf numFmtId="3" fontId="16" fillId="4" borderId="11" applyNumberFormat="1" applyFont="1" applyFill="1" applyBorder="1" applyAlignment="1" applyProtection="0">
      <alignment horizontal="center" vertical="bottom"/>
    </xf>
    <xf numFmtId="0" fontId="16" fillId="4" borderId="12" applyNumberFormat="0" applyFont="1" applyFill="1" applyBorder="1" applyAlignment="1" applyProtection="0">
      <alignment horizontal="center" vertical="bottom"/>
    </xf>
    <xf numFmtId="60" fontId="16" fillId="4" borderId="12" applyNumberFormat="1" applyFont="1" applyFill="1" applyBorder="1" applyAlignment="1" applyProtection="0">
      <alignment horizontal="center" vertical="bottom"/>
    </xf>
    <xf numFmtId="60" fontId="16" fillId="4" borderId="13" applyNumberFormat="1" applyFont="1" applyFill="1" applyBorder="1" applyAlignment="1" applyProtection="0">
      <alignment horizontal="center" vertical="bottom"/>
    </xf>
    <xf numFmtId="59" fontId="16" fillId="4" borderId="4" applyNumberFormat="1" applyFont="1" applyFill="1" applyBorder="1" applyAlignment="1" applyProtection="0">
      <alignment horizontal="center" vertical="bottom"/>
    </xf>
    <xf numFmtId="59" fontId="4" fillId="4" borderId="4" applyNumberFormat="1" applyFont="1" applyFill="1" applyBorder="1" applyAlignment="1" applyProtection="0">
      <alignment horizontal="center" vertical="bottom"/>
    </xf>
    <xf numFmtId="59" fontId="13" fillId="4" borderId="6" applyNumberFormat="1" applyFont="1" applyFill="1" applyBorder="1" applyAlignment="1" applyProtection="0">
      <alignment horizontal="center" vertical="bottom"/>
    </xf>
    <xf numFmtId="49" fontId="23" fillId="4" borderId="5" applyNumberFormat="1" applyFont="1" applyFill="1" applyBorder="1" applyAlignment="1" applyProtection="0">
      <alignment horizontal="left" vertical="bottom"/>
    </xf>
    <xf numFmtId="0" fontId="16" fillId="4" borderId="5" applyNumberFormat="0" applyFont="1" applyFill="1" applyBorder="1" applyAlignment="1" applyProtection="0">
      <alignment horizontal="left" vertical="bottom"/>
    </xf>
    <xf numFmtId="49" fontId="16" fillId="4" borderId="2" applyNumberFormat="1" applyFont="1" applyFill="1" applyBorder="1" applyAlignment="1" applyProtection="0">
      <alignment horizontal="center" vertical="bottom"/>
    </xf>
    <xf numFmtId="60" fontId="16" fillId="4" borderId="2" applyNumberFormat="1" applyFont="1" applyFill="1" applyBorder="1" applyAlignment="1" applyProtection="0">
      <alignment horizontal="center" vertical="bottom"/>
    </xf>
    <xf numFmtId="49" fontId="23" fillId="4" borderId="1" applyNumberFormat="1" applyFont="1" applyFill="1" applyBorder="1" applyAlignment="1" applyProtection="0">
      <alignment horizontal="left" vertical="bottom"/>
    </xf>
    <xf numFmtId="60" fontId="16" fillId="4" borderId="14" applyNumberFormat="1" applyFont="1" applyFill="1" applyBorder="1" applyAlignment="1" applyProtection="0">
      <alignment horizontal="center" vertical="bottom"/>
    </xf>
    <xf numFmtId="49" fontId="16" fillId="4" borderId="4" applyNumberFormat="1" applyFont="1" applyFill="1" applyBorder="1" applyAlignment="1" applyProtection="0">
      <alignment horizontal="center" vertical="bottom"/>
    </xf>
    <xf numFmtId="60" fontId="16" fillId="4" borderId="4" applyNumberFormat="1" applyFont="1" applyFill="1" applyBorder="1" applyAlignment="1" applyProtection="0">
      <alignment horizontal="center" vertical="bottom"/>
    </xf>
    <xf numFmtId="59" fontId="22" fillId="4" borderId="1" applyNumberFormat="1" applyFont="1" applyFill="1" applyBorder="1" applyAlignment="1" applyProtection="0">
      <alignment horizontal="right" vertical="bottom"/>
    </xf>
    <xf numFmtId="49" fontId="22" fillId="4" borderId="1" applyNumberFormat="1" applyFont="1" applyFill="1" applyBorder="1" applyAlignment="1" applyProtection="0">
      <alignment horizontal="center" vertical="bottom"/>
    </xf>
    <xf numFmtId="49" fontId="16" fillId="4" borderId="12" applyNumberFormat="1" applyFont="1" applyFill="1" applyBorder="1" applyAlignment="1" applyProtection="0">
      <alignment horizontal="center" vertical="bottom"/>
    </xf>
    <xf numFmtId="3" fontId="16" fillId="4" borderId="15" applyNumberFormat="1" applyFont="1" applyFill="1" applyBorder="1" applyAlignment="1" applyProtection="0">
      <alignment horizontal="center" vertical="bottom"/>
    </xf>
    <xf numFmtId="0" fontId="16" fillId="4" borderId="16" applyNumberFormat="0" applyFont="1" applyFill="1" applyBorder="1" applyAlignment="1" applyProtection="0">
      <alignment horizontal="center" vertical="bottom"/>
    </xf>
    <xf numFmtId="60" fontId="16" fillId="4" borderId="16" applyNumberFormat="1" applyFont="1" applyFill="1" applyBorder="1" applyAlignment="1" applyProtection="0">
      <alignment horizontal="center" vertical="bottom"/>
    </xf>
    <xf numFmtId="60" fontId="16" fillId="4" borderId="17" applyNumberFormat="1" applyFont="1" applyFill="1" applyBorder="1" applyAlignment="1" applyProtection="0">
      <alignment horizontal="center" vertical="bottom"/>
    </xf>
    <xf numFmtId="49" fontId="20" fillId="6" borderId="10" applyNumberFormat="1" applyFont="1" applyFill="1" applyBorder="1" applyAlignment="1" applyProtection="0">
      <alignment horizontal="center" vertical="bottom"/>
    </xf>
    <xf numFmtId="60" fontId="20" fillId="6" borderId="10" applyNumberFormat="1" applyFont="1" applyFill="1" applyBorder="1" applyAlignment="1" applyProtection="0">
      <alignment horizontal="center" vertical="bottom"/>
    </xf>
    <xf numFmtId="59" fontId="15" fillId="5" borderId="2" applyNumberFormat="1" applyFont="1" applyFill="1" applyBorder="1" applyAlignment="1" applyProtection="0">
      <alignment horizontal="right" vertical="bottom"/>
    </xf>
    <xf numFmtId="60" fontId="5" fillId="4" borderId="6" applyNumberFormat="1" applyFont="1" applyFill="1" applyBorder="1" applyAlignment="1" applyProtection="0">
      <alignment horizontal="right" vertical="bottom"/>
    </xf>
    <xf numFmtId="59" fontId="13" fillId="4" borderId="2" applyNumberFormat="1" applyFont="1" applyFill="1" applyBorder="1" applyAlignment="1" applyProtection="0">
      <alignment horizontal="right" vertical="bottom"/>
    </xf>
    <xf numFmtId="49" fontId="23" fillId="4" borderId="9" applyNumberFormat="1" applyFont="1" applyFill="1" applyBorder="1" applyAlignment="1" applyProtection="0">
      <alignment horizontal="left" vertical="bottom"/>
    </xf>
    <xf numFmtId="0" fontId="16" fillId="4" borderId="9" applyNumberFormat="0" applyFont="1" applyFill="1" applyBorder="1" applyAlignment="1" applyProtection="0">
      <alignment horizontal="center" vertical="bottom"/>
    </xf>
    <xf numFmtId="60" fontId="12" fillId="4" borderId="5" applyNumberFormat="1" applyFont="1" applyFill="1" applyBorder="1" applyAlignment="1" applyProtection="0">
      <alignment horizontal="right" vertical="bottom"/>
    </xf>
    <xf numFmtId="0" fontId="4" fillId="4" borderId="5" applyNumberFormat="0" applyFont="1" applyFill="1" applyBorder="1" applyAlignment="1" applyProtection="0">
      <alignment horizontal="center" vertical="bottom"/>
    </xf>
    <xf numFmtId="0" fontId="12" fillId="4" borderId="5" applyNumberFormat="0" applyFont="1" applyFill="1" applyBorder="1" applyAlignment="1" applyProtection="0">
      <alignment horizontal="center" vertical="bottom"/>
    </xf>
    <xf numFmtId="3" fontId="16" fillId="4" borderId="10" applyNumberFormat="1" applyFont="1" applyFill="1" applyBorder="1" applyAlignment="1" applyProtection="0">
      <alignment horizontal="center" vertical="bottom"/>
    </xf>
    <xf numFmtId="49" fontId="12" fillId="4" borderId="1" applyNumberFormat="1" applyFont="1" applyFill="1" applyBorder="1" applyAlignment="1" applyProtection="0">
      <alignment horizontal="center" vertical="bottom"/>
    </xf>
    <xf numFmtId="49" fontId="23" fillId="4" borderId="4" applyNumberFormat="1" applyFont="1" applyFill="1" applyBorder="1" applyAlignment="1" applyProtection="0">
      <alignment horizontal="left" vertical="bottom"/>
    </xf>
    <xf numFmtId="0" fontId="16" fillId="4" borderId="4" applyNumberFormat="0" applyFont="1" applyFill="1" applyBorder="1" applyAlignment="1" applyProtection="0">
      <alignment horizontal="center" vertical="bottom"/>
    </xf>
    <xf numFmtId="60" fontId="16" fillId="4" borderId="4" applyNumberFormat="1" applyFont="1" applyFill="1" applyBorder="1" applyAlignment="1" applyProtection="0">
      <alignment horizontal="center" vertical="center"/>
    </xf>
    <xf numFmtId="59" fontId="16" fillId="4" borderId="4" applyNumberFormat="1" applyFont="1" applyFill="1" applyBorder="1" applyAlignment="1" applyProtection="0">
      <alignment horizontal="right" vertical="bottom"/>
    </xf>
    <xf numFmtId="59" fontId="4" fillId="4" borderId="4" applyNumberFormat="1" applyFont="1" applyFill="1" applyBorder="1" applyAlignment="1" applyProtection="0">
      <alignment horizontal="right" vertical="bottom"/>
    </xf>
    <xf numFmtId="0" fontId="4" fillId="4" borderId="2" applyNumberFormat="0" applyFont="1" applyFill="1" applyBorder="1" applyAlignment="1" applyProtection="0">
      <alignment horizontal="center" vertical="bottom"/>
    </xf>
    <xf numFmtId="0" fontId="4" fillId="4" borderId="2" applyNumberFormat="0" applyFont="1" applyFill="1" applyBorder="1" applyAlignment="1" applyProtection="0">
      <alignment horizontal="right" vertical="bottom"/>
    </xf>
    <xf numFmtId="0" fontId="0" fillId="4" borderId="1" applyNumberFormat="0" applyFont="1" applyFill="1" applyBorder="1" applyAlignment="1" applyProtection="0">
      <alignment vertical="bottom"/>
    </xf>
    <xf numFmtId="0" fontId="4" fillId="4" borderId="10" applyNumberFormat="0" applyFont="1" applyFill="1" applyBorder="1" applyAlignment="1" applyProtection="0">
      <alignment horizontal="center" vertical="bottom"/>
    </xf>
    <xf numFmtId="0" fontId="4" fillId="4" borderId="10" applyNumberFormat="0" applyFont="1" applyFill="1" applyBorder="1" applyAlignment="1" applyProtection="0">
      <alignment horizontal="right" vertical="bottom"/>
    </xf>
    <xf numFmtId="0" fontId="12" fillId="4" borderId="1" applyNumberFormat="0" applyFont="1" applyFill="1" applyBorder="1" applyAlignment="1" applyProtection="0">
      <alignment horizontal="center" vertical="bottom"/>
    </xf>
    <xf numFmtId="49" fontId="15" fillId="4" borderId="3" applyNumberFormat="1" applyFont="1" applyFill="1" applyBorder="1" applyAlignment="1" applyProtection="0">
      <alignment horizontal="center" vertical="bottom"/>
    </xf>
    <xf numFmtId="59" fontId="4" fillId="4" borderId="5" applyNumberFormat="1" applyFont="1" applyFill="1" applyBorder="1" applyAlignment="1" applyProtection="0">
      <alignment horizontal="center" vertical="bottom"/>
    </xf>
    <xf numFmtId="49" fontId="16" fillId="4" borderId="2" applyNumberFormat="1" applyFont="1" applyFill="1" applyBorder="1" applyAlignment="1" applyProtection="0">
      <alignment horizontal="left" vertical="bottom"/>
    </xf>
    <xf numFmtId="3" fontId="16" fillId="4" borderId="2" applyNumberFormat="1" applyFont="1" applyFill="1" applyBorder="1" applyAlignment="1" applyProtection="0">
      <alignment horizontal="center" vertical="bottom"/>
    </xf>
    <xf numFmtId="59" fontId="16" fillId="4" borderId="2" applyNumberFormat="1" applyFont="1" applyFill="1" applyBorder="1" applyAlignment="1" applyProtection="0">
      <alignment horizontal="right" vertical="bottom"/>
    </xf>
    <xf numFmtId="59" fontId="4" fillId="4" borderId="2" applyNumberFormat="1" applyFont="1" applyFill="1" applyBorder="1" applyAlignment="1" applyProtection="0">
      <alignment horizontal="right" vertical="bottom"/>
    </xf>
    <xf numFmtId="0" fontId="16" fillId="4" borderId="10" applyNumberFormat="0" applyFont="1" applyFill="1" applyBorder="1" applyAlignment="1" applyProtection="0">
      <alignment horizontal="left" vertical="bottom"/>
    </xf>
    <xf numFmtId="3" fontId="24" fillId="4" borderId="6" applyNumberFormat="1" applyFont="1" applyFill="1" applyBorder="1" applyAlignment="1" applyProtection="0">
      <alignment horizontal="center" vertical="bottom"/>
    </xf>
    <xf numFmtId="49" fontId="25" fillId="6" borderId="4" applyNumberFormat="1" applyFont="1" applyFill="1" applyBorder="1" applyAlignment="1" applyProtection="0">
      <alignment horizontal="left" vertical="bottom"/>
    </xf>
    <xf numFmtId="0" fontId="20" fillId="6" borderId="4" applyNumberFormat="0" applyFont="1" applyFill="1" applyBorder="1" applyAlignment="1" applyProtection="0">
      <alignment horizontal="center" vertical="bottom"/>
    </xf>
    <xf numFmtId="49" fontId="20" fillId="6" borderId="1" applyNumberFormat="1" applyFont="1" applyFill="1" applyBorder="1" applyAlignment="1" applyProtection="0">
      <alignment horizontal="left" vertical="bottom"/>
    </xf>
    <xf numFmtId="3" fontId="20" fillId="6" borderId="1" applyNumberFormat="1" applyFont="1" applyFill="1" applyBorder="1" applyAlignment="1" applyProtection="0">
      <alignment horizontal="center" vertical="bottom"/>
    </xf>
    <xf numFmtId="49" fontId="20" fillId="6" borderId="1" applyNumberFormat="1" applyFont="1" applyFill="1" applyBorder="1" applyAlignment="1" applyProtection="0">
      <alignment horizontal="center" vertical="bottom"/>
    </xf>
    <xf numFmtId="60" fontId="20" fillId="6" borderId="1" applyNumberFormat="1" applyFont="1" applyFill="1" applyBorder="1" applyAlignment="1" applyProtection="0">
      <alignment horizontal="center" vertical="bottom"/>
    </xf>
    <xf numFmtId="49" fontId="15" fillId="4" borderId="6" applyNumberFormat="1" applyFont="1" applyFill="1" applyBorder="1" applyAlignment="1" applyProtection="0">
      <alignment horizontal="center" vertical="bottom"/>
    </xf>
    <xf numFmtId="0" fontId="16" fillId="4" borderId="2" applyNumberFormat="0" applyFont="1" applyFill="1" applyBorder="1" applyAlignment="1" applyProtection="0">
      <alignment horizontal="left" vertical="bottom"/>
    </xf>
    <xf numFmtId="0" fontId="16" fillId="4" borderId="2" applyNumberFormat="0" applyFont="1" applyFill="1" applyBorder="1" applyAlignment="1" applyProtection="0">
      <alignment horizontal="center" vertical="bottom"/>
    </xf>
    <xf numFmtId="62" fontId="16" fillId="4" borderId="2" applyNumberFormat="1" applyFont="1" applyFill="1" applyBorder="1" applyAlignment="1" applyProtection="0">
      <alignment horizontal="center" vertical="bottom"/>
    </xf>
    <xf numFmtId="59" fontId="16" fillId="4" borderId="2" applyNumberFormat="1" applyFont="1" applyFill="1" applyBorder="1" applyAlignment="1" applyProtection="0">
      <alignment horizontal="center" vertical="bottom"/>
    </xf>
    <xf numFmtId="60" fontId="4" fillId="4" borderId="10" applyNumberFormat="1" applyFont="1" applyFill="1" applyBorder="1" applyAlignment="1" applyProtection="0">
      <alignment horizontal="center" vertical="bottom"/>
    </xf>
    <xf numFmtId="60" fontId="26" fillId="4" borderId="10" applyNumberFormat="1" applyFont="1" applyFill="1" applyBorder="1" applyAlignment="1" applyProtection="0">
      <alignment horizontal="right" vertical="bottom"/>
    </xf>
    <xf numFmtId="3" fontId="4" fillId="4" borderId="10" applyNumberFormat="1" applyFont="1" applyFill="1" applyBorder="1" applyAlignment="1" applyProtection="0">
      <alignment horizontal="center" vertical="bottom"/>
    </xf>
    <xf numFmtId="49" fontId="20" fillId="6" borderId="10" applyNumberFormat="1" applyFont="1" applyFill="1" applyBorder="1" applyAlignment="1" applyProtection="0">
      <alignment horizontal="left" vertical="bottom"/>
    </xf>
    <xf numFmtId="3" fontId="20" fillId="6" borderId="10" applyNumberFormat="1" applyFont="1" applyFill="1" applyBorder="1" applyAlignment="1" applyProtection="0">
      <alignment horizontal="center" vertical="bottom"/>
    </xf>
    <xf numFmtId="60" fontId="4" fillId="4" borderId="18" applyNumberFormat="1" applyFont="1" applyFill="1" applyBorder="1" applyAlignment="1" applyProtection="0">
      <alignment horizontal="center" vertical="bottom"/>
    </xf>
    <xf numFmtId="60" fontId="26" fillId="4" borderId="18" applyNumberFormat="1" applyFont="1" applyFill="1" applyBorder="1" applyAlignment="1" applyProtection="0">
      <alignment horizontal="right" vertical="bottom"/>
    </xf>
    <xf numFmtId="63" fontId="13" fillId="4" borderId="19" applyNumberFormat="1" applyFont="1" applyFill="1" applyBorder="1" applyAlignment="1" applyProtection="0">
      <alignment horizontal="right" vertical="bottom"/>
    </xf>
    <xf numFmtId="59" fontId="15" fillId="5" borderId="19" applyNumberFormat="1" applyFont="1" applyFill="1" applyBorder="1" applyAlignment="1" applyProtection="0">
      <alignment horizontal="right" vertical="bottom"/>
    </xf>
    <xf numFmtId="59" fontId="15" fillId="4" borderId="19" applyNumberFormat="1" applyFont="1" applyFill="1" applyBorder="1" applyAlignment="1" applyProtection="0">
      <alignment horizontal="center" vertical="bottom"/>
    </xf>
    <xf numFmtId="60" fontId="12" fillId="4" borderId="20" applyNumberFormat="1" applyFont="1" applyFill="1" applyBorder="1" applyAlignment="1" applyProtection="0">
      <alignment horizontal="right" vertical="bottom"/>
    </xf>
    <xf numFmtId="59" fontId="15" fillId="4" borderId="19" applyNumberFormat="1" applyFont="1" applyFill="1" applyBorder="1" applyAlignment="1" applyProtection="0">
      <alignment horizontal="right" vertical="bottom"/>
    </xf>
    <xf numFmtId="59" fontId="13" fillId="4" borderId="19" applyNumberFormat="1" applyFont="1" applyFill="1" applyBorder="1" applyAlignment="1" applyProtection="0">
      <alignment horizontal="right" vertical="bottom"/>
    </xf>
    <xf numFmtId="59" fontId="12" fillId="4" borderId="5" applyNumberFormat="1" applyFont="1" applyFill="1" applyBorder="1" applyAlignment="1" applyProtection="0">
      <alignment horizontal="right" vertical="bottom"/>
    </xf>
    <xf numFmtId="59" fontId="12" fillId="4" borderId="1" applyNumberFormat="1" applyFont="1" applyFill="1" applyBorder="1" applyAlignment="1" applyProtection="0">
      <alignment horizontal="right" vertical="bottom"/>
    </xf>
    <xf numFmtId="59" fontId="12" fillId="4" borderId="2" applyNumberFormat="1" applyFont="1" applyFill="1" applyBorder="1" applyAlignment="1" applyProtection="0">
      <alignment horizontal="right" vertical="bottom"/>
    </xf>
    <xf numFmtId="3" fontId="16" fillId="4" borderId="21" applyNumberFormat="1" applyFont="1" applyFill="1" applyBorder="1" applyAlignment="1" applyProtection="0">
      <alignment horizontal="center" vertical="bottom"/>
    </xf>
    <xf numFmtId="49" fontId="16" fillId="4" borderId="21" applyNumberFormat="1" applyFont="1" applyFill="1" applyBorder="1" applyAlignment="1" applyProtection="0">
      <alignment horizontal="center" vertical="bottom"/>
    </xf>
    <xf numFmtId="60" fontId="16" fillId="4" borderId="21" applyNumberFormat="1" applyFont="1" applyFill="1" applyBorder="1" applyAlignment="1" applyProtection="0">
      <alignment horizontal="center" vertical="bottom"/>
    </xf>
    <xf numFmtId="59" fontId="16" fillId="4" borderId="22" applyNumberFormat="1" applyFont="1" applyFill="1" applyBorder="1" applyAlignment="1" applyProtection="0">
      <alignment horizontal="right" vertical="bottom"/>
    </xf>
    <xf numFmtId="49" fontId="16" fillId="4" borderId="21" applyNumberFormat="1" applyFont="1" applyFill="1" applyBorder="1" applyAlignment="1" applyProtection="0">
      <alignment horizontal="left" vertical="bottom"/>
    </xf>
    <xf numFmtId="60" fontId="4" fillId="4" borderId="22" applyNumberFormat="1" applyFont="1" applyFill="1" applyBorder="1" applyAlignment="1" applyProtection="0">
      <alignment horizontal="center" vertical="bottom"/>
    </xf>
    <xf numFmtId="60" fontId="26" fillId="4" borderId="20" applyNumberFormat="1" applyFont="1" applyFill="1" applyBorder="1" applyAlignment="1" applyProtection="0">
      <alignment horizontal="right" vertical="bottom"/>
    </xf>
    <xf numFmtId="60" fontId="0" fillId="4" borderId="20" applyNumberFormat="1" applyFont="1" applyFill="1" applyBorder="1" applyAlignment="1" applyProtection="0">
      <alignment vertical="bottom"/>
    </xf>
    <xf numFmtId="60" fontId="26" fillId="4" borderId="2" applyNumberFormat="1" applyFont="1" applyFill="1" applyBorder="1" applyAlignment="1" applyProtection="0">
      <alignment horizontal="right" vertical="bottom"/>
    </xf>
    <xf numFmtId="0" fontId="4" fillId="4" borderId="4" applyNumberFormat="0" applyFont="1" applyFill="1" applyBorder="1" applyAlignment="1" applyProtection="0">
      <alignment horizontal="left" vertical="bottom"/>
    </xf>
    <xf numFmtId="3" fontId="0" fillId="4" borderId="23" applyNumberFormat="1" applyFont="1" applyFill="1" applyBorder="1" applyAlignment="1" applyProtection="0">
      <alignment vertical="bottom"/>
    </xf>
    <xf numFmtId="0" fontId="4" fillId="4" borderId="12" applyNumberFormat="0" applyFont="1" applyFill="1" applyBorder="1" applyAlignment="1" applyProtection="0">
      <alignment horizontal="center" vertical="bottom"/>
    </xf>
    <xf numFmtId="60" fontId="4" fillId="4" borderId="12" applyNumberFormat="1" applyFont="1" applyFill="1" applyBorder="1" applyAlignment="1" applyProtection="0">
      <alignment horizontal="center" vertical="bottom"/>
    </xf>
    <xf numFmtId="60" fontId="27" fillId="4" borderId="12" applyNumberFormat="1" applyFont="1" applyFill="1" applyBorder="1" applyAlignment="1" applyProtection="0">
      <alignment horizontal="center" vertical="bottom"/>
    </xf>
    <xf numFmtId="0" fontId="27" fillId="4" borderId="12" applyNumberFormat="0" applyFont="1" applyFill="1" applyBorder="1" applyAlignment="1" applyProtection="0">
      <alignment horizontal="center" vertical="bottom"/>
    </xf>
    <xf numFmtId="60" fontId="15" fillId="4" borderId="12" applyNumberFormat="1" applyFont="1" applyFill="1" applyBorder="1" applyAlignment="1" applyProtection="0">
      <alignment vertical="center"/>
    </xf>
    <xf numFmtId="60" fontId="0" fillId="4" borderId="24" applyNumberFormat="1" applyFont="1" applyFill="1" applyBorder="1" applyAlignment="1" applyProtection="0">
      <alignment vertical="bottom"/>
    </xf>
    <xf numFmtId="60" fontId="0" fillId="4" borderId="25" applyNumberFormat="1" applyFont="1" applyFill="1" applyBorder="1" applyAlignment="1" applyProtection="0">
      <alignment vertical="bottom"/>
    </xf>
    <xf numFmtId="59" fontId="0" fillId="4" borderId="1" applyNumberFormat="1" applyFont="1" applyFill="1" applyBorder="1" applyAlignment="1" applyProtection="0">
      <alignment vertical="bottom"/>
    </xf>
    <xf numFmtId="59" fontId="28" fillId="4" borderId="10" applyNumberFormat="1" applyFont="1" applyFill="1" applyBorder="1" applyAlignment="1" applyProtection="0">
      <alignment horizontal="center" vertical="center"/>
    </xf>
    <xf numFmtId="0" fontId="4" fillId="4" borderId="12" applyNumberFormat="0" applyFont="1" applyFill="1" applyBorder="1" applyAlignment="1" applyProtection="0">
      <alignment horizontal="left" vertical="bottom"/>
    </xf>
    <xf numFmtId="0" fontId="13" fillId="4" borderId="26" applyNumberFormat="0" applyFont="1" applyFill="1" applyBorder="1" applyAlignment="1" applyProtection="0">
      <alignment horizontal="right" vertical="center"/>
    </xf>
    <xf numFmtId="0" fontId="0" fillId="4" borderId="10" applyNumberFormat="0" applyFont="1" applyFill="1" applyBorder="1" applyAlignment="1" applyProtection="0">
      <alignment vertical="bottom"/>
    </xf>
    <xf numFmtId="60" fontId="28" fillId="4" borderId="10" applyNumberFormat="1" applyFont="1" applyFill="1" applyBorder="1" applyAlignment="1" applyProtection="0">
      <alignment horizontal="center" vertical="center"/>
    </xf>
    <xf numFmtId="59" fontId="0" fillId="4" borderId="2" applyNumberFormat="1" applyFont="1" applyFill="1" applyBorder="1" applyAlignment="1" applyProtection="0">
      <alignment vertical="bottom"/>
    </xf>
    <xf numFmtId="60" fontId="0" fillId="4" borderId="2" applyNumberFormat="1" applyFont="1" applyFill="1" applyBorder="1" applyAlignment="1" applyProtection="0">
      <alignment vertical="bottom"/>
    </xf>
    <xf numFmtId="0" fontId="4" fillId="4" borderId="10" applyNumberFormat="0" applyFont="1" applyFill="1" applyBorder="1" applyAlignment="1" applyProtection="0">
      <alignment horizontal="left" vertical="bottom"/>
    </xf>
    <xf numFmtId="0" fontId="13" fillId="4" borderId="12" applyNumberFormat="0" applyFont="1" applyFill="1" applyBorder="1" applyAlignment="1" applyProtection="0">
      <alignment horizontal="left" vertical="bottom"/>
    </xf>
    <xf numFmtId="3" fontId="13" fillId="4" borderId="14" applyNumberFormat="1" applyFont="1" applyFill="1" applyBorder="1" applyAlignment="1" applyProtection="0">
      <alignment horizontal="right" vertical="bottom"/>
    </xf>
    <xf numFmtId="0" fontId="13" fillId="4" borderId="4" applyNumberFormat="0" applyFont="1" applyFill="1" applyBorder="1" applyAlignment="1" applyProtection="0">
      <alignment horizontal="right" vertical="bottom"/>
    </xf>
    <xf numFmtId="49" fontId="13" fillId="4" borderId="4" applyNumberFormat="1" applyFont="1" applyFill="1" applyBorder="1" applyAlignment="1" applyProtection="0">
      <alignment horizontal="right" vertical="bottom"/>
    </xf>
    <xf numFmtId="59" fontId="13" fillId="4" borderId="10" applyNumberFormat="1" applyFont="1" applyFill="1" applyBorder="1" applyAlignment="1" applyProtection="0">
      <alignment horizontal="right" vertical="bottom"/>
    </xf>
    <xf numFmtId="59" fontId="13" fillId="4" borderId="4" applyNumberFormat="1" applyFont="1" applyFill="1" applyBorder="1" applyAlignment="1" applyProtection="0">
      <alignment horizontal="center" vertical="bottom"/>
    </xf>
    <xf numFmtId="59" fontId="15" fillId="4" borderId="4" applyNumberFormat="1" applyFont="1" applyFill="1" applyBorder="1" applyAlignment="1" applyProtection="0">
      <alignment horizontal="center" vertical="bottom"/>
    </xf>
    <xf numFmtId="60" fontId="4" fillId="4" borderId="4" applyNumberFormat="1" applyFont="1" applyFill="1" applyBorder="1" applyAlignment="1" applyProtection="0">
      <alignment horizontal="center" vertical="bottom"/>
    </xf>
    <xf numFmtId="60" fontId="15" fillId="4" borderId="10" applyNumberFormat="1" applyFont="1" applyFill="1" applyBorder="1" applyAlignment="1" applyProtection="0">
      <alignment vertical="center"/>
    </xf>
    <xf numFmtId="0" fontId="13" fillId="4" borderId="1" applyNumberFormat="0" applyFont="1" applyFill="1" applyBorder="1" applyAlignment="1" applyProtection="0">
      <alignment horizontal="right" vertical="bottom"/>
    </xf>
    <xf numFmtId="49" fontId="13" fillId="4" borderId="1" applyNumberFormat="1" applyFont="1" applyFill="1" applyBorder="1" applyAlignment="1" applyProtection="0">
      <alignment horizontal="right" vertical="bottom"/>
    </xf>
    <xf numFmtId="59" fontId="13" fillId="4" borderId="4" applyNumberFormat="1" applyFont="1" applyFill="1" applyBorder="1" applyAlignment="1" applyProtection="0">
      <alignment horizontal="right" vertical="bottom"/>
    </xf>
    <xf numFmtId="59" fontId="13" fillId="4" borderId="1" applyNumberFormat="1" applyFont="1" applyFill="1" applyBorder="1" applyAlignment="1" applyProtection="0">
      <alignment horizontal="center" vertical="bottom"/>
    </xf>
    <xf numFmtId="59" fontId="15" fillId="4" borderId="1" applyNumberFormat="1" applyFont="1" applyFill="1" applyBorder="1" applyAlignment="1" applyProtection="0">
      <alignment horizontal="center" vertical="bottom"/>
    </xf>
    <xf numFmtId="60" fontId="4" fillId="4" borderId="1" applyNumberFormat="1" applyFont="1" applyFill="1" applyBorder="1" applyAlignment="1" applyProtection="0">
      <alignment horizontal="center" vertical="bottom"/>
    </xf>
    <xf numFmtId="0" fontId="0" fillId="4" borderId="4" applyNumberFormat="0" applyFont="1" applyFill="1" applyBorder="1" applyAlignment="1" applyProtection="0">
      <alignment vertical="bottom"/>
    </xf>
    <xf numFmtId="59" fontId="13" fillId="4" borderId="1" applyNumberFormat="1" applyFont="1" applyFill="1" applyBorder="1" applyAlignment="1" applyProtection="0">
      <alignment horizontal="right" vertical="bottom"/>
    </xf>
    <xf numFmtId="49" fontId="13" fillId="4" borderId="10" applyNumberFormat="1" applyFont="1" applyFill="1" applyBorder="1" applyAlignment="1" applyProtection="0">
      <alignment horizontal="right" vertical="bottom"/>
    </xf>
    <xf numFmtId="0" fontId="12" fillId="4" borderId="1" applyNumberFormat="0" applyFont="1" applyFill="1" applyBorder="1" applyAlignment="1" applyProtection="0">
      <alignment horizontal="right" vertical="bottom"/>
    </xf>
    <xf numFmtId="0" fontId="16" fillId="4" borderId="12" applyNumberFormat="0" applyFont="1" applyFill="1" applyBorder="1" applyAlignment="1" applyProtection="0">
      <alignment horizontal="left" vertical="bottom"/>
    </xf>
    <xf numFmtId="0" fontId="16" fillId="4" borderId="27" applyNumberFormat="0" applyFont="1" applyFill="1" applyBorder="1" applyAlignment="1" applyProtection="0">
      <alignment horizontal="right" vertical="bottom"/>
    </xf>
    <xf numFmtId="0" fontId="16" fillId="4" borderId="6" applyNumberFormat="0" applyFont="1" applyFill="1" applyBorder="1" applyAlignment="1" applyProtection="0">
      <alignment horizontal="right" vertical="bottom"/>
    </xf>
    <xf numFmtId="60" fontId="16" fillId="4" borderId="6" applyNumberFormat="1" applyFont="1" applyFill="1" applyBorder="1" applyAlignment="1" applyProtection="0">
      <alignment horizontal="right" vertical="bottom"/>
    </xf>
    <xf numFmtId="62" fontId="16" fillId="4" borderId="6" applyNumberFormat="1" applyFont="1" applyFill="1" applyBorder="1" applyAlignment="1" applyProtection="0">
      <alignment horizontal="center" vertical="bottom"/>
    </xf>
    <xf numFmtId="62" fontId="0" fillId="4" borderId="6" applyNumberFormat="1" applyFont="1" applyFill="1" applyBorder="1" applyAlignment="1" applyProtection="0">
      <alignment vertical="bottom"/>
    </xf>
    <xf numFmtId="0" fontId="0" fillId="4" borderId="6" applyNumberFormat="0" applyFont="1" applyFill="1" applyBorder="1" applyAlignment="1" applyProtection="0">
      <alignment vertical="bottom"/>
    </xf>
    <xf numFmtId="0" fontId="13" fillId="4" borderId="28" applyNumberFormat="0" applyFont="1" applyFill="1" applyBorder="1" applyAlignment="1" applyProtection="0">
      <alignment horizontal="right" vertical="center"/>
    </xf>
    <xf numFmtId="0" fontId="16" fillId="4" borderId="5" applyNumberFormat="0" applyFont="1" applyFill="1" applyBorder="1" applyAlignment="1" applyProtection="0">
      <alignment horizontal="center" vertical="bottom"/>
    </xf>
    <xf numFmtId="49" fontId="13" fillId="4" borderId="5" applyNumberFormat="1" applyFont="1" applyFill="1" applyBorder="1" applyAlignment="1" applyProtection="0">
      <alignment horizontal="right" vertical="center"/>
    </xf>
    <xf numFmtId="59" fontId="13" fillId="4" borderId="5" applyNumberFormat="1" applyFont="1" applyFill="1" applyBorder="1" applyAlignment="1" applyProtection="0">
      <alignment horizontal="center" vertical="center"/>
    </xf>
    <xf numFmtId="59" fontId="28" fillId="4" borderId="5" applyNumberFormat="1" applyFont="1" applyFill="1" applyBorder="1" applyAlignment="1" applyProtection="0">
      <alignment horizontal="center" vertical="center"/>
    </xf>
    <xf numFmtId="60" fontId="28" fillId="4" borderId="5" applyNumberFormat="1" applyFont="1" applyFill="1" applyBorder="1" applyAlignment="1" applyProtection="0">
      <alignment horizontal="center" vertical="center"/>
    </xf>
    <xf numFmtId="0" fontId="12" fillId="4" borderId="4" applyNumberFormat="0" applyFont="1" applyFill="1" applyBorder="1" applyAlignment="1" applyProtection="0">
      <alignment horizontal="left" vertical="bottom"/>
    </xf>
    <xf numFmtId="3" fontId="0" fillId="4" borderId="1" applyNumberFormat="1" applyFont="1" applyFill="1" applyBorder="1" applyAlignment="1" applyProtection="0">
      <alignment vertical="bottom"/>
    </xf>
    <xf numFmtId="60" fontId="0" fillId="4" borderId="4" applyNumberFormat="1" applyFont="1" applyFill="1" applyBorder="1" applyAlignment="1" applyProtection="0">
      <alignment vertical="bottom"/>
    </xf>
    <xf numFmtId="0" fontId="12" fillId="4" borderId="1" applyNumberFormat="0" applyFont="1" applyFill="1" applyBorder="1" applyAlignment="1" applyProtection="0">
      <alignment horizontal="left" vertical="bottom"/>
    </xf>
    <xf numFmtId="0" fontId="16" fillId="4" borderId="2" applyNumberFormat="0" applyFont="1" applyFill="1" applyBorder="1" applyAlignment="1" applyProtection="0">
      <alignment horizontal="right" vertical="bottom"/>
    </xf>
    <xf numFmtId="3" fontId="16" fillId="4" borderId="1" applyNumberFormat="1" applyFont="1" applyFill="1" applyBorder="1" applyAlignment="1" applyProtection="0">
      <alignment horizontal="right" vertical="bottom"/>
    </xf>
    <xf numFmtId="49" fontId="20" fillId="4" borderId="2" applyNumberFormat="1" applyFont="1" applyFill="1" applyBorder="1" applyAlignment="1" applyProtection="0">
      <alignment horizontal="right" vertical="bottom"/>
    </xf>
    <xf numFmtId="59" fontId="20" fillId="4" borderId="2" applyNumberFormat="1" applyFont="1" applyFill="1" applyBorder="1" applyAlignment="1" applyProtection="0">
      <alignment horizontal="center" vertical="bottom"/>
    </xf>
    <xf numFmtId="0" fontId="13" fillId="4" borderId="14" applyNumberFormat="0" applyFont="1" applyFill="1" applyBorder="1" applyAlignment="1" applyProtection="0">
      <alignment horizontal="right" vertical="center"/>
    </xf>
    <xf numFmtId="0" fontId="28" fillId="4" borderId="10" applyNumberFormat="0" applyFont="1" applyFill="1" applyBorder="1" applyAlignment="1" applyProtection="0">
      <alignment horizontal="right" vertical="center"/>
    </xf>
    <xf numFmtId="49" fontId="29" fillId="4" borderId="29" applyNumberFormat="1" applyFont="1" applyFill="1" applyBorder="1" applyAlignment="1" applyProtection="0">
      <alignment vertical="bottom"/>
    </xf>
    <xf numFmtId="0" fontId="13" fillId="4" borderId="30" applyNumberFormat="0" applyFont="1" applyFill="1" applyBorder="1" applyAlignment="1" applyProtection="0">
      <alignment horizontal="right" vertical="center"/>
    </xf>
    <xf numFmtId="0" fontId="0" fillId="4" borderId="18" applyNumberFormat="0" applyFont="1" applyFill="1" applyBorder="1" applyAlignment="1" applyProtection="0">
      <alignment vertical="bottom"/>
    </xf>
    <xf numFmtId="0" fontId="28" fillId="4" borderId="18" applyNumberFormat="0" applyFont="1" applyFill="1" applyBorder="1" applyAlignment="1" applyProtection="0">
      <alignment horizontal="right" vertical="center"/>
    </xf>
    <xf numFmtId="59" fontId="28" fillId="4" borderId="18" applyNumberFormat="1" applyFont="1" applyFill="1" applyBorder="1" applyAlignment="1" applyProtection="0">
      <alignment horizontal="center" vertical="center"/>
    </xf>
    <xf numFmtId="0" fontId="4" fillId="4" borderId="31" applyNumberFormat="0" applyFont="1" applyFill="1" applyBorder="1" applyAlignment="1" applyProtection="0">
      <alignment horizontal="left" vertical="bottom"/>
    </xf>
    <xf numFmtId="0" fontId="13" fillId="4" borderId="32" applyNumberFormat="0" applyFont="1" applyFill="1" applyBorder="1" applyAlignment="1" applyProtection="0">
      <alignment horizontal="right" vertical="center"/>
    </xf>
    <xf numFmtId="0" fontId="0" fillId="4" borderId="22" applyNumberFormat="0" applyFont="1" applyFill="1" applyBorder="1" applyAlignment="1" applyProtection="0">
      <alignment vertical="bottom"/>
    </xf>
    <xf numFmtId="0" fontId="28" fillId="4" borderId="22" applyNumberFormat="0" applyFont="1" applyFill="1" applyBorder="1" applyAlignment="1" applyProtection="0">
      <alignment horizontal="right" vertical="center"/>
    </xf>
    <xf numFmtId="59" fontId="28" fillId="4" borderId="22" applyNumberFormat="1" applyFont="1" applyFill="1" applyBorder="1" applyAlignment="1" applyProtection="0">
      <alignment horizontal="center" vertical="center"/>
    </xf>
    <xf numFmtId="61" fontId="13" fillId="4" borderId="19" applyNumberFormat="1" applyFont="1" applyFill="1" applyBorder="1" applyAlignment="1" applyProtection="0">
      <alignment horizontal="right" vertical="bottom"/>
    </xf>
    <xf numFmtId="59" fontId="12" fillId="4" borderId="22" applyNumberFormat="1" applyFont="1" applyFill="1" applyBorder="1" applyAlignment="1" applyProtection="0">
      <alignment horizontal="right" vertical="bottom"/>
    </xf>
    <xf numFmtId="0" fontId="12" fillId="4" borderId="22" applyNumberFormat="0" applyFont="1" applyFill="1" applyBorder="1" applyAlignment="1" applyProtection="0">
      <alignment horizontal="center" vertical="bottom"/>
    </xf>
    <xf numFmtId="60" fontId="12" fillId="4" borderId="22" applyNumberFormat="1" applyFont="1" applyFill="1" applyBorder="1" applyAlignment="1" applyProtection="0">
      <alignment horizontal="right" vertical="bottom"/>
    </xf>
    <xf numFmtId="0" fontId="4" fillId="4" borderId="22" applyNumberFormat="0" applyFont="1" applyFill="1" applyBorder="1" applyAlignment="1" applyProtection="0">
      <alignment horizontal="center" vertical="bottom"/>
    </xf>
    <xf numFmtId="60" fontId="4" fillId="4" borderId="9" applyNumberFormat="1" applyFont="1" applyFill="1" applyBorder="1" applyAlignment="1" applyProtection="0">
      <alignment horizontal="center" vertical="bottom"/>
    </xf>
    <xf numFmtId="0" fontId="13" fillId="4" borderId="13" applyNumberFormat="0" applyFont="1" applyFill="1" applyBorder="1" applyAlignment="1" applyProtection="0">
      <alignment horizontal="right" vertical="center"/>
    </xf>
    <xf numFmtId="60" fontId="28" fillId="4" borderId="4" applyNumberFormat="1" applyFont="1" applyFill="1" applyBorder="1" applyAlignment="1" applyProtection="0">
      <alignment horizontal="center" vertical="center"/>
    </xf>
    <xf numFmtId="59" fontId="0" fillId="4" borderId="20" applyNumberFormat="1" applyFont="1" applyFill="1" applyBorder="1" applyAlignment="1" applyProtection="0">
      <alignment vertical="bottom"/>
    </xf>
    <xf numFmtId="0" fontId="28" fillId="4" borderId="4" applyNumberFormat="0" applyFont="1" applyFill="1" applyBorder="1" applyAlignment="1" applyProtection="0">
      <alignment horizontal="right" vertical="center"/>
    </xf>
    <xf numFmtId="59" fontId="28" fillId="4" borderId="4" applyNumberFormat="1" applyFont="1" applyFill="1" applyBorder="1" applyAlignment="1" applyProtection="0">
      <alignment horizontal="center" vertical="center"/>
    </xf>
    <xf numFmtId="3" fontId="16" fillId="4" borderId="33" applyNumberFormat="1" applyFont="1" applyFill="1" applyBorder="1" applyAlignment="1" applyProtection="0">
      <alignment horizontal="center" vertical="bottom"/>
    </xf>
    <xf numFmtId="49" fontId="16" fillId="4" borderId="34" applyNumberFormat="1" applyFont="1" applyFill="1" applyBorder="1" applyAlignment="1" applyProtection="0">
      <alignment horizontal="center" vertical="bottom"/>
    </xf>
    <xf numFmtId="60" fontId="16" fillId="4" borderId="34" applyNumberFormat="1" applyFont="1" applyFill="1" applyBorder="1" applyAlignment="1" applyProtection="0">
      <alignment horizontal="center" vertical="bottom"/>
    </xf>
    <xf numFmtId="60" fontId="16" fillId="4" borderId="28" applyNumberFormat="1" applyFont="1" applyFill="1" applyBorder="1" applyAlignment="1" applyProtection="0">
      <alignment horizontal="center" vertical="bottom"/>
    </xf>
    <xf numFmtId="0" fontId="16" fillId="4" borderId="10" applyNumberFormat="0" applyFont="1" applyFill="1" applyBorder="1" applyAlignment="1" applyProtection="0">
      <alignment horizontal="center" vertical="bottom"/>
    </xf>
    <xf numFmtId="59" fontId="4" fillId="4" borderId="2" applyNumberFormat="1" applyFont="1" applyFill="1" applyBorder="1" applyAlignment="1" applyProtection="0">
      <alignment horizontal="center" vertical="bottom"/>
    </xf>
    <xf numFmtId="59" fontId="16" fillId="4" borderId="10" applyNumberFormat="1" applyFont="1" applyFill="1" applyBorder="1" applyAlignment="1" applyProtection="0">
      <alignment horizontal="center" vertical="bottom"/>
    </xf>
    <xf numFmtId="3" fontId="13" fillId="4" borderId="13" applyNumberFormat="1" applyFont="1" applyFill="1" applyBorder="1" applyAlignment="1" applyProtection="0">
      <alignment horizontal="right" vertical="bottom"/>
    </xf>
    <xf numFmtId="59" fontId="13" fillId="4" borderId="2" applyNumberFormat="1" applyFont="1" applyFill="1" applyBorder="1" applyAlignment="1" applyProtection="0">
      <alignment horizontal="center" vertical="bottom"/>
    </xf>
    <xf numFmtId="0" fontId="12" fillId="4" borderId="6" applyNumberFormat="0" applyFont="1" applyFill="1" applyBorder="1" applyAlignment="1" applyProtection="0">
      <alignment horizontal="right" vertical="bottom"/>
    </xf>
    <xf numFmtId="0" fontId="32" applyNumberFormat="1" applyFont="1" applyFill="0" applyBorder="0" applyAlignment="1" applyProtection="0">
      <alignment vertical="bottom"/>
    </xf>
    <xf numFmtId="49" fontId="8" fillId="4" borderId="1" applyNumberFormat="1" applyFont="1" applyFill="1" applyBorder="1" applyAlignment="1" applyProtection="0">
      <alignment vertical="bottom"/>
    </xf>
    <xf numFmtId="0" fontId="32" fillId="4" borderId="1" applyNumberFormat="0" applyFont="1" applyFill="1" applyBorder="1" applyAlignment="1" applyProtection="0">
      <alignment vertical="bottom"/>
    </xf>
    <xf numFmtId="14" fontId="16" fillId="4" borderId="1" applyNumberFormat="1" applyFont="1" applyFill="1" applyBorder="1" applyAlignment="1" applyProtection="0">
      <alignment horizontal="center" vertical="bottom"/>
    </xf>
    <xf numFmtId="59" fontId="32" fillId="4" borderId="1" applyNumberFormat="1" applyFont="1" applyFill="1" applyBorder="1" applyAlignment="1" applyProtection="0">
      <alignment vertical="bottom"/>
    </xf>
    <xf numFmtId="0" fontId="32" borderId="1" applyNumberFormat="0" applyFont="1" applyFill="0" applyBorder="1" applyAlignment="1" applyProtection="0">
      <alignment vertical="bottom"/>
    </xf>
    <xf numFmtId="0" fontId="34" fillId="4" borderId="1" applyNumberFormat="0" applyFont="1" applyFill="1" applyBorder="1" applyAlignment="1" applyProtection="0">
      <alignment horizontal="right" vertical="bottom"/>
    </xf>
    <xf numFmtId="0" fontId="35" fillId="4" borderId="1" applyNumberFormat="0" applyFont="1" applyFill="1" applyBorder="1" applyAlignment="1" applyProtection="0">
      <alignment horizontal="left" vertical="center"/>
    </xf>
    <xf numFmtId="0" fontId="36" fillId="4" borderId="1" applyNumberFormat="0" applyFont="1" applyFill="1" applyBorder="1" applyAlignment="1" applyProtection="0">
      <alignment horizontal="center" vertical="center"/>
    </xf>
    <xf numFmtId="0" fontId="35" fillId="4" borderId="1" applyNumberFormat="0" applyFont="1" applyFill="1" applyBorder="1" applyAlignment="1" applyProtection="0">
      <alignment horizontal="center" vertical="center"/>
    </xf>
    <xf numFmtId="0" fontId="35" fillId="4" borderId="1" applyNumberFormat="0" applyFont="1" applyFill="1" applyBorder="1" applyAlignment="1" applyProtection="0">
      <alignment horizontal="center" vertical="center" wrapText="1"/>
    </xf>
    <xf numFmtId="0" fontId="37" fillId="4" borderId="1" applyNumberFormat="0" applyFont="1" applyFill="1" applyBorder="1" applyAlignment="1" applyProtection="0">
      <alignment horizontal="center" vertical="bottom"/>
    </xf>
    <xf numFmtId="0" fontId="23" fillId="4" borderId="1" applyNumberFormat="0" applyFont="1" applyFill="1" applyBorder="1" applyAlignment="1" applyProtection="0">
      <alignment horizontal="right" vertical="bottom"/>
    </xf>
    <xf numFmtId="0" fontId="38" fillId="7" borderId="1" applyNumberFormat="0" applyFont="1" applyFill="1" applyBorder="1" applyAlignment="1" applyProtection="0">
      <alignment horizontal="center" vertical="center" wrapText="1"/>
    </xf>
    <xf numFmtId="0" fontId="38" fillId="4" borderId="1" applyNumberFormat="0" applyFont="1" applyFill="1" applyBorder="1" applyAlignment="1" applyProtection="0">
      <alignment horizontal="center" vertical="center" wrapText="1"/>
    </xf>
    <xf numFmtId="0" fontId="38" fillId="8" borderId="1" applyNumberFormat="0" applyFont="1" applyFill="1" applyBorder="1" applyAlignment="1" applyProtection="0">
      <alignment horizontal="center" vertical="center" wrapText="1"/>
    </xf>
    <xf numFmtId="0" fontId="38" borderId="1" applyNumberFormat="0" applyFont="1" applyFill="0" applyBorder="1" applyAlignment="1" applyProtection="0">
      <alignment horizontal="center" vertical="center" wrapText="1"/>
    </xf>
    <xf numFmtId="0" fontId="39" fillId="4" borderId="1" applyNumberFormat="0" applyFont="1" applyFill="1" applyBorder="1" applyAlignment="1" applyProtection="0">
      <alignment horizontal="center" vertical="center" wrapText="1"/>
    </xf>
    <xf numFmtId="49" fontId="40" fillId="4" borderId="6" applyNumberFormat="1" applyFont="1" applyFill="1" applyBorder="1" applyAlignment="1" applyProtection="0">
      <alignment vertical="center"/>
    </xf>
    <xf numFmtId="0" fontId="40" fillId="4" borderId="6" applyNumberFormat="0" applyFont="1" applyFill="1" applyBorder="1" applyAlignment="1" applyProtection="0">
      <alignment horizontal="center" vertical="center"/>
    </xf>
    <xf numFmtId="0" fontId="36" fillId="4" borderId="6" applyNumberFormat="0" applyFont="1" applyFill="1" applyBorder="1" applyAlignment="1" applyProtection="0">
      <alignment horizontal="center" vertical="center"/>
    </xf>
    <xf numFmtId="0" fontId="35" fillId="4" borderId="6" applyNumberFormat="0" applyFont="1" applyFill="1" applyBorder="1" applyAlignment="1" applyProtection="0">
      <alignment horizontal="center" vertical="center"/>
    </xf>
    <xf numFmtId="0" fontId="35" fillId="4" borderId="6" applyNumberFormat="0" applyFont="1" applyFill="1" applyBorder="1" applyAlignment="1" applyProtection="0">
      <alignment horizontal="center" vertical="center" wrapText="1"/>
    </xf>
    <xf numFmtId="49" fontId="40" fillId="4" borderId="35" applyNumberFormat="1" applyFont="1" applyFill="1" applyBorder="1" applyAlignment="1" applyProtection="0">
      <alignment horizontal="left" vertical="center"/>
    </xf>
    <xf numFmtId="49" fontId="40" fillId="4" borderId="35" applyNumberFormat="1" applyFont="1" applyFill="1" applyBorder="1" applyAlignment="1" applyProtection="0">
      <alignment horizontal="center" vertical="center"/>
    </xf>
    <xf numFmtId="49" fontId="35" fillId="4" borderId="35" applyNumberFormat="1" applyFont="1" applyFill="1" applyBorder="1" applyAlignment="1" applyProtection="0">
      <alignment horizontal="center" vertical="center"/>
    </xf>
    <xf numFmtId="49" fontId="36" fillId="4" borderId="35" applyNumberFormat="1" applyFont="1" applyFill="1" applyBorder="1" applyAlignment="1" applyProtection="0">
      <alignment horizontal="center" vertical="center"/>
    </xf>
    <xf numFmtId="49" fontId="40" fillId="4" borderId="35" applyNumberFormat="1" applyFont="1" applyFill="1" applyBorder="1" applyAlignment="1" applyProtection="0">
      <alignment horizontal="center" vertical="center" wrapText="1"/>
    </xf>
    <xf numFmtId="49" fontId="40" fillId="6" borderId="35" applyNumberFormat="1" applyFont="1" applyFill="1" applyBorder="1" applyAlignment="1" applyProtection="0">
      <alignment horizontal="center" vertical="center" wrapText="1"/>
    </xf>
    <xf numFmtId="49" fontId="37" fillId="4" borderId="36" applyNumberFormat="1" applyFont="1" applyFill="1" applyBorder="1" applyAlignment="1" applyProtection="0">
      <alignment horizontal="center" vertical="bottom"/>
    </xf>
    <xf numFmtId="0" fontId="37" fillId="4" borderId="36" applyNumberFormat="0" applyFont="1" applyFill="1" applyBorder="1" applyAlignment="1" applyProtection="0">
      <alignment horizontal="center" vertical="bottom"/>
    </xf>
    <xf numFmtId="0" fontId="23" fillId="4" borderId="36" applyNumberFormat="0" applyFont="1" applyFill="1" applyBorder="1" applyAlignment="1" applyProtection="0">
      <alignment horizontal="right" vertical="bottom"/>
    </xf>
    <xf numFmtId="49" fontId="38" fillId="7" borderId="36" applyNumberFormat="1" applyFont="1" applyFill="1" applyBorder="1" applyAlignment="1" applyProtection="0">
      <alignment horizontal="center" vertical="center" wrapText="1"/>
    </xf>
    <xf numFmtId="0" fontId="32" fillId="4" borderId="36" applyNumberFormat="0" applyFont="1" applyFill="1" applyBorder="1" applyAlignment="1" applyProtection="0">
      <alignment vertical="bottom"/>
    </xf>
    <xf numFmtId="0" fontId="38" fillId="4" borderId="36" applyNumberFormat="0" applyFont="1" applyFill="1" applyBorder="1" applyAlignment="1" applyProtection="0">
      <alignment horizontal="center" vertical="center" wrapText="1"/>
    </xf>
    <xf numFmtId="49" fontId="38" fillId="8" borderId="36" applyNumberFormat="1" applyFont="1" applyFill="1" applyBorder="1" applyAlignment="1" applyProtection="0">
      <alignment horizontal="center" vertical="center" wrapText="1"/>
    </xf>
    <xf numFmtId="0" fontId="38" borderId="36" applyNumberFormat="0" applyFont="1" applyFill="0" applyBorder="1" applyAlignment="1" applyProtection="0">
      <alignment horizontal="center" vertical="center" wrapText="1"/>
    </xf>
    <xf numFmtId="0" fontId="39" fillId="4" borderId="36" applyNumberFormat="0" applyFont="1" applyFill="1" applyBorder="1" applyAlignment="1" applyProtection="0">
      <alignment horizontal="center" vertical="center" wrapText="1"/>
    </xf>
    <xf numFmtId="49" fontId="9" fillId="4" borderId="37" applyNumberFormat="1" applyFont="1" applyFill="1" applyBorder="1" applyAlignment="1" applyProtection="0">
      <alignment horizontal="left" vertical="center"/>
    </xf>
    <xf numFmtId="14" fontId="9" fillId="4" borderId="38" applyNumberFormat="1" applyFont="1" applyFill="1" applyBorder="1" applyAlignment="1" applyProtection="0">
      <alignment horizontal="center" vertical="center"/>
    </xf>
    <xf numFmtId="14" fontId="9" fillId="4" borderId="37" applyNumberFormat="1" applyFont="1" applyFill="1" applyBorder="1" applyAlignment="1" applyProtection="0">
      <alignment horizontal="center" vertical="center"/>
    </xf>
    <xf numFmtId="0" fontId="36" fillId="4" borderId="37" applyNumberFormat="0" applyFont="1" applyFill="1" applyBorder="1" applyAlignment="1" applyProtection="0">
      <alignment horizontal="center" vertical="bottom"/>
    </xf>
    <xf numFmtId="0" fontId="35" fillId="4" borderId="37" applyNumberFormat="0" applyFont="1" applyFill="1" applyBorder="1" applyAlignment="1" applyProtection="0">
      <alignment horizontal="center" vertical="bottom"/>
    </xf>
    <xf numFmtId="14" fontId="9" fillId="6" borderId="37" applyNumberFormat="1" applyFont="1" applyFill="1" applyBorder="1" applyAlignment="1" applyProtection="0">
      <alignment horizontal="center" vertical="center"/>
    </xf>
    <xf numFmtId="0" fontId="38" fillId="7" borderId="36" applyNumberFormat="0" applyFont="1" applyFill="1" applyBorder="1" applyAlignment="1" applyProtection="0">
      <alignment horizontal="center" vertical="center" wrapText="1"/>
    </xf>
    <xf numFmtId="0" fontId="38" fillId="8" borderId="36" applyNumberFormat="0" applyFont="1" applyFill="1" applyBorder="1" applyAlignment="1" applyProtection="0">
      <alignment horizontal="center" vertical="center" wrapText="1"/>
    </xf>
    <xf numFmtId="49" fontId="29" fillId="4" borderId="39" applyNumberFormat="1" applyFont="1" applyFill="1" applyBorder="1" applyAlignment="1" applyProtection="0">
      <alignment horizontal="left" vertical="center" wrapText="1"/>
    </xf>
    <xf numFmtId="64" fontId="9" fillId="4" borderId="40" applyNumberFormat="1" applyFont="1" applyFill="1" applyBorder="1" applyAlignment="1" applyProtection="0">
      <alignment horizontal="center" vertical="center" wrapText="1"/>
    </xf>
    <xf numFmtId="64" fontId="9" fillId="4" borderId="39" applyNumberFormat="1" applyFont="1" applyFill="1" applyBorder="1" applyAlignment="1" applyProtection="0">
      <alignment horizontal="center" vertical="center" wrapText="1"/>
    </xf>
    <xf numFmtId="49" fontId="9" fillId="4" borderId="39" applyNumberFormat="1" applyFont="1" applyFill="1" applyBorder="1" applyAlignment="1" applyProtection="0">
      <alignment horizontal="center" vertical="center" wrapText="1"/>
    </xf>
    <xf numFmtId="49" fontId="9" fillId="6" borderId="39" applyNumberFormat="1" applyFont="1" applyFill="1" applyBorder="1" applyAlignment="1" applyProtection="0">
      <alignment horizontal="center" vertical="center" wrapText="1"/>
    </xf>
    <xf numFmtId="59" fontId="4" fillId="4" borderId="41" applyNumberFormat="1" applyFont="1" applyFill="1" applyBorder="1" applyAlignment="1" applyProtection="0">
      <alignment horizontal="center" vertical="bottom"/>
    </xf>
    <xf numFmtId="60" fontId="4" fillId="4" borderId="41" applyNumberFormat="1" applyFont="1" applyFill="1" applyBorder="1" applyAlignment="1" applyProtection="0">
      <alignment horizontal="right" vertical="bottom"/>
    </xf>
    <xf numFmtId="60" fontId="4" fillId="8" borderId="41" applyNumberFormat="1" applyFont="1" applyFill="1" applyBorder="1" applyAlignment="1" applyProtection="0">
      <alignment horizontal="center" vertical="bottom"/>
    </xf>
    <xf numFmtId="60" fontId="4" fillId="7" borderId="41" applyNumberFormat="1" applyFont="1" applyFill="1" applyBorder="1" applyAlignment="1" applyProtection="0">
      <alignment horizontal="center" vertical="bottom" wrapText="1"/>
    </xf>
    <xf numFmtId="65" fontId="4" fillId="7" borderId="41" applyNumberFormat="1" applyFont="1" applyFill="1" applyBorder="1" applyAlignment="1" applyProtection="0">
      <alignment horizontal="center" vertical="bottom" wrapText="1"/>
    </xf>
    <xf numFmtId="65" fontId="4" fillId="4" borderId="41" applyNumberFormat="1" applyFont="1" applyFill="1" applyBorder="1" applyAlignment="1" applyProtection="0">
      <alignment horizontal="center" vertical="bottom" wrapText="1"/>
    </xf>
    <xf numFmtId="60" fontId="4" fillId="8" borderId="41" applyNumberFormat="1" applyFont="1" applyFill="1" applyBorder="1" applyAlignment="1" applyProtection="0">
      <alignment horizontal="center" vertical="bottom" wrapText="1"/>
    </xf>
    <xf numFmtId="65" fontId="4" fillId="8" borderId="41" applyNumberFormat="1" applyFont="1" applyFill="1" applyBorder="1" applyAlignment="1" applyProtection="0">
      <alignment horizontal="center" vertical="bottom" wrapText="1"/>
    </xf>
    <xf numFmtId="65" fontId="4" borderId="41" applyNumberFormat="1" applyFont="1" applyFill="0" applyBorder="1" applyAlignment="1" applyProtection="0">
      <alignment horizontal="center" vertical="bottom" wrapText="1"/>
    </xf>
    <xf numFmtId="65" fontId="34" fillId="4" borderId="41" applyNumberFormat="1" applyFont="1" applyFill="1" applyBorder="1" applyAlignment="1" applyProtection="0">
      <alignment horizontal="center" vertical="bottom" wrapText="1"/>
    </xf>
    <xf numFmtId="49" fontId="29" fillId="4" borderId="41" applyNumberFormat="1" applyFont="1" applyFill="1" applyBorder="1" applyAlignment="1" applyProtection="0">
      <alignment horizontal="left" vertical="center" wrapText="1"/>
    </xf>
    <xf numFmtId="64" fontId="9" fillId="4" borderId="42" applyNumberFormat="1" applyFont="1" applyFill="1" applyBorder="1" applyAlignment="1" applyProtection="0">
      <alignment horizontal="center" vertical="center" wrapText="1"/>
    </xf>
    <xf numFmtId="64" fontId="9" fillId="4" borderId="36" applyNumberFormat="1" applyFont="1" applyFill="1" applyBorder="1" applyAlignment="1" applyProtection="0">
      <alignment horizontal="center" vertical="center" wrapText="1"/>
    </xf>
    <xf numFmtId="49" fontId="9" fillId="4" borderId="36" applyNumberFormat="1" applyFont="1" applyFill="1" applyBorder="1" applyAlignment="1" applyProtection="0">
      <alignment horizontal="center" vertical="center" wrapText="1"/>
    </xf>
    <xf numFmtId="49" fontId="9" fillId="4" borderId="43" applyNumberFormat="1" applyFont="1" applyFill="1" applyBorder="1" applyAlignment="1" applyProtection="0">
      <alignment horizontal="center" vertical="center" wrapText="1"/>
    </xf>
    <xf numFmtId="49" fontId="9" fillId="6" borderId="41" applyNumberFormat="1" applyFont="1" applyFill="1" applyBorder="1" applyAlignment="1" applyProtection="0">
      <alignment horizontal="center" vertical="center" wrapText="1"/>
    </xf>
    <xf numFmtId="64" fontId="9" fillId="6" borderId="41" applyNumberFormat="1" applyFont="1" applyFill="1" applyBorder="1" applyAlignment="1" applyProtection="0">
      <alignment horizontal="center" vertical="center" wrapText="1"/>
    </xf>
    <xf numFmtId="59" fontId="15" fillId="4" borderId="44" applyNumberFormat="1" applyFont="1" applyFill="1" applyBorder="1" applyAlignment="1" applyProtection="0">
      <alignment horizontal="center" vertical="bottom"/>
    </xf>
    <xf numFmtId="49" fontId="4" fillId="4" borderId="40" applyNumberFormat="1" applyFont="1" applyFill="1" applyBorder="1" applyAlignment="1" applyProtection="0">
      <alignment horizontal="center" vertical="bottom"/>
    </xf>
    <xf numFmtId="0" fontId="4" fillId="4" borderId="40" applyNumberFormat="0" applyFont="1" applyFill="1" applyBorder="1" applyAlignment="1" applyProtection="0">
      <alignment horizontal="center" vertical="bottom"/>
    </xf>
    <xf numFmtId="64" fontId="9" fillId="4" borderId="41" applyNumberFormat="1" applyFont="1" applyFill="1" applyBorder="1" applyAlignment="1" applyProtection="0">
      <alignment horizontal="center" vertical="center" wrapText="1"/>
    </xf>
    <xf numFmtId="49" fontId="9" fillId="4" borderId="41" applyNumberFormat="1" applyFont="1" applyFill="1" applyBorder="1" applyAlignment="1" applyProtection="0">
      <alignment horizontal="center" vertical="center" wrapText="1"/>
    </xf>
    <xf numFmtId="49" fontId="4" fillId="4" borderId="41" applyNumberFormat="1" applyFont="1" applyFill="1" applyBorder="1" applyAlignment="1" applyProtection="0">
      <alignment horizontal="center" vertical="bottom"/>
    </xf>
    <xf numFmtId="0" fontId="4" fillId="4" borderId="41" applyNumberFormat="0" applyFont="1" applyFill="1" applyBorder="1" applyAlignment="1" applyProtection="0">
      <alignment horizontal="center" vertical="bottom"/>
    </xf>
    <xf numFmtId="0" fontId="9" fillId="4" borderId="36" applyNumberFormat="0" applyFont="1" applyFill="1" applyBorder="1" applyAlignment="1" applyProtection="0">
      <alignment horizontal="center" vertical="center" wrapText="1"/>
    </xf>
    <xf numFmtId="49" fontId="4" fillId="4" borderId="45" applyNumberFormat="1" applyFont="1" applyFill="1" applyBorder="1" applyAlignment="1" applyProtection="0">
      <alignment horizontal="center" vertical="bottom"/>
    </xf>
    <xf numFmtId="0" fontId="4" fillId="4" borderId="45" applyNumberFormat="0" applyFont="1" applyFill="1" applyBorder="1" applyAlignment="1" applyProtection="0">
      <alignment horizontal="center" vertical="bottom"/>
    </xf>
    <xf numFmtId="59" fontId="15" fillId="4" borderId="46" applyNumberFormat="1" applyFont="1" applyFill="1" applyBorder="1" applyAlignment="1" applyProtection="0">
      <alignment horizontal="center" vertical="bottom"/>
    </xf>
    <xf numFmtId="0" fontId="4" fillId="4" borderId="47" applyNumberFormat="0" applyFont="1" applyFill="1" applyBorder="1" applyAlignment="1" applyProtection="0">
      <alignment horizontal="center" vertical="bottom"/>
    </xf>
    <xf numFmtId="66" fontId="43" fillId="6" borderId="41" applyNumberFormat="1" applyFont="1" applyFill="1" applyBorder="1" applyAlignment="1" applyProtection="0">
      <alignment horizontal="center" vertical="center" wrapText="1"/>
    </xf>
    <xf numFmtId="49" fontId="29" fillId="4" borderId="44" applyNumberFormat="1" applyFont="1" applyFill="1" applyBorder="1" applyAlignment="1" applyProtection="0">
      <alignment horizontal="left" vertical="center" wrapText="1"/>
    </xf>
    <xf numFmtId="64" fontId="9" fillId="4" borderId="48" applyNumberFormat="1" applyFont="1" applyFill="1" applyBorder="1" applyAlignment="1" applyProtection="0">
      <alignment horizontal="center" vertical="center" wrapText="1"/>
    </xf>
    <xf numFmtId="64" fontId="9" fillId="4" borderId="37" applyNumberFormat="1" applyFont="1" applyFill="1" applyBorder="1" applyAlignment="1" applyProtection="0">
      <alignment horizontal="center" vertical="center" wrapText="1"/>
    </xf>
    <xf numFmtId="0" fontId="9" fillId="4" borderId="38" applyNumberFormat="0" applyFont="1" applyFill="1" applyBorder="1" applyAlignment="1" applyProtection="0">
      <alignment horizontal="center" vertical="center" wrapText="1"/>
    </xf>
    <xf numFmtId="49" fontId="9" fillId="4" borderId="49" applyNumberFormat="1" applyFont="1" applyFill="1" applyBorder="1" applyAlignment="1" applyProtection="0">
      <alignment horizontal="center" vertical="center" wrapText="1"/>
    </xf>
    <xf numFmtId="49" fontId="9" fillId="6" borderId="44" applyNumberFormat="1" applyFont="1" applyFill="1" applyBorder="1" applyAlignment="1" applyProtection="0">
      <alignment horizontal="center" vertical="center" wrapText="1"/>
    </xf>
    <xf numFmtId="49" fontId="29" fillId="4" borderId="45" applyNumberFormat="1" applyFont="1" applyFill="1" applyBorder="1" applyAlignment="1" applyProtection="0">
      <alignment vertical="center"/>
    </xf>
    <xf numFmtId="49" fontId="9" fillId="4" borderId="45" applyNumberFormat="1" applyFont="1" applyFill="1" applyBorder="1" applyAlignment="1" applyProtection="0">
      <alignment horizontal="center" vertical="center"/>
    </xf>
    <xf numFmtId="64" fontId="9" fillId="6" borderId="40" applyNumberFormat="1" applyFont="1" applyFill="1" applyBorder="1" applyAlignment="1" applyProtection="0">
      <alignment horizontal="center" vertical="center" wrapText="1"/>
    </xf>
    <xf numFmtId="60" fontId="15" fillId="4" borderId="44" applyNumberFormat="1" applyFont="1" applyFill="1" applyBorder="1" applyAlignment="1" applyProtection="0">
      <alignment horizontal="right" vertical="bottom"/>
    </xf>
    <xf numFmtId="60" fontId="15" fillId="8" borderId="44" applyNumberFormat="1" applyFont="1" applyFill="1" applyBorder="1" applyAlignment="1" applyProtection="0">
      <alignment horizontal="center" vertical="bottom"/>
    </xf>
    <xf numFmtId="60" fontId="15" fillId="7" borderId="44" applyNumberFormat="1" applyFont="1" applyFill="1" applyBorder="1" applyAlignment="1" applyProtection="0">
      <alignment horizontal="center" vertical="bottom" wrapText="1"/>
    </xf>
    <xf numFmtId="0" fontId="15" fillId="7" borderId="44" applyNumberFormat="0" applyFont="1" applyFill="1" applyBorder="1" applyAlignment="1" applyProtection="0">
      <alignment horizontal="center" vertical="bottom" wrapText="1"/>
    </xf>
    <xf numFmtId="0" fontId="15" fillId="4" borderId="44" applyNumberFormat="0" applyFont="1" applyFill="1" applyBorder="1" applyAlignment="1" applyProtection="0">
      <alignment horizontal="center" vertical="bottom" wrapText="1"/>
    </xf>
    <xf numFmtId="60" fontId="15" fillId="8" borderId="44" applyNumberFormat="1" applyFont="1" applyFill="1" applyBorder="1" applyAlignment="1" applyProtection="0">
      <alignment horizontal="center" vertical="bottom" wrapText="1"/>
    </xf>
    <xf numFmtId="0" fontId="15" fillId="8" borderId="44" applyNumberFormat="0" applyFont="1" applyFill="1" applyBorder="1" applyAlignment="1" applyProtection="0">
      <alignment horizontal="center" vertical="bottom" wrapText="1"/>
    </xf>
    <xf numFmtId="0" fontId="15" borderId="44" applyNumberFormat="0" applyFont="1" applyFill="0" applyBorder="1" applyAlignment="1" applyProtection="0">
      <alignment horizontal="center" vertical="bottom" wrapText="1"/>
    </xf>
    <xf numFmtId="0" fontId="44" fillId="4" borderId="44" applyNumberFormat="0" applyFont="1" applyFill="1" applyBorder="1" applyAlignment="1" applyProtection="0">
      <alignment horizontal="center" vertical="bottom" wrapText="1"/>
    </xf>
    <xf numFmtId="49" fontId="29" fillId="4" borderId="46" applyNumberFormat="1" applyFont="1" applyFill="1" applyBorder="1" applyAlignment="1" applyProtection="0">
      <alignment vertical="center"/>
    </xf>
    <xf numFmtId="49" fontId="9" fillId="4" borderId="46" applyNumberFormat="1" applyFont="1" applyFill="1" applyBorder="1" applyAlignment="1" applyProtection="0">
      <alignment horizontal="center" vertical="center"/>
    </xf>
    <xf numFmtId="59" fontId="15" fillId="4" borderId="50" applyNumberFormat="1" applyFont="1" applyFill="1" applyBorder="1" applyAlignment="1" applyProtection="0">
      <alignment horizontal="center" vertical="bottom"/>
    </xf>
    <xf numFmtId="60" fontId="15" fillId="4" borderId="50" applyNumberFormat="1" applyFont="1" applyFill="1" applyBorder="1" applyAlignment="1" applyProtection="0">
      <alignment horizontal="right" vertical="bottom"/>
    </xf>
    <xf numFmtId="60" fontId="15" fillId="8" borderId="50" applyNumberFormat="1" applyFont="1" applyFill="1" applyBorder="1" applyAlignment="1" applyProtection="0">
      <alignment horizontal="center" vertical="bottom"/>
    </xf>
    <xf numFmtId="60" fontId="15" fillId="7" borderId="50" applyNumberFormat="1" applyFont="1" applyFill="1" applyBorder="1" applyAlignment="1" applyProtection="0">
      <alignment horizontal="center" vertical="bottom" wrapText="1"/>
    </xf>
    <xf numFmtId="0" fontId="15" fillId="7" borderId="50" applyNumberFormat="0" applyFont="1" applyFill="1" applyBorder="1" applyAlignment="1" applyProtection="0">
      <alignment horizontal="center" vertical="bottom" wrapText="1"/>
    </xf>
    <xf numFmtId="0" fontId="15" fillId="4" borderId="50" applyNumberFormat="0" applyFont="1" applyFill="1" applyBorder="1" applyAlignment="1" applyProtection="0">
      <alignment horizontal="center" vertical="bottom" wrapText="1"/>
    </xf>
    <xf numFmtId="60" fontId="15" fillId="8" borderId="50" applyNumberFormat="1" applyFont="1" applyFill="1" applyBorder="1" applyAlignment="1" applyProtection="0">
      <alignment horizontal="center" vertical="bottom" wrapText="1"/>
    </xf>
    <xf numFmtId="0" fontId="15" fillId="8" borderId="50" applyNumberFormat="0" applyFont="1" applyFill="1" applyBorder="1" applyAlignment="1" applyProtection="0">
      <alignment horizontal="center" vertical="bottom" wrapText="1"/>
    </xf>
    <xf numFmtId="0" fontId="15" borderId="50" applyNumberFormat="0" applyFont="1" applyFill="0" applyBorder="1" applyAlignment="1" applyProtection="0">
      <alignment horizontal="center" vertical="bottom" wrapText="1"/>
    </xf>
    <xf numFmtId="0" fontId="44" fillId="4" borderId="50" applyNumberFormat="0" applyFont="1" applyFill="1" applyBorder="1" applyAlignment="1" applyProtection="0">
      <alignment horizontal="center" vertical="bottom" wrapText="1"/>
    </xf>
    <xf numFmtId="49" fontId="29" fillId="4" borderId="51" applyNumberFormat="1" applyFont="1" applyFill="1" applyBorder="1" applyAlignment="1" applyProtection="0">
      <alignment vertical="center"/>
    </xf>
    <xf numFmtId="64" fontId="9" fillId="4" borderId="52" applyNumberFormat="1" applyFont="1" applyFill="1" applyBorder="1" applyAlignment="1" applyProtection="0">
      <alignment horizontal="center" vertical="center" wrapText="1"/>
    </xf>
    <xf numFmtId="49" fontId="9" fillId="4" borderId="51" applyNumberFormat="1" applyFont="1" applyFill="1" applyBorder="1" applyAlignment="1" applyProtection="0">
      <alignment horizontal="center" vertical="center"/>
    </xf>
    <xf numFmtId="64" fontId="9" fillId="6" borderId="52" applyNumberFormat="1" applyFont="1" applyFill="1" applyBorder="1" applyAlignment="1" applyProtection="0">
      <alignment horizontal="center" vertical="center" wrapText="1"/>
    </xf>
    <xf numFmtId="49" fontId="45" fillId="4" borderId="53" applyNumberFormat="1" applyFont="1" applyFill="1" applyBorder="1" applyAlignment="1" applyProtection="0">
      <alignment vertical="center"/>
    </xf>
    <xf numFmtId="64" fontId="45" fillId="4" borderId="54" applyNumberFormat="1" applyFont="1" applyFill="1" applyBorder="1" applyAlignment="1" applyProtection="0">
      <alignment horizontal="center" vertical="center"/>
    </xf>
    <xf numFmtId="64" fontId="9" fillId="4" borderId="55" applyNumberFormat="1" applyFont="1" applyFill="1" applyBorder="1" applyAlignment="1" applyProtection="0">
      <alignment horizontal="center" vertical="bottom"/>
    </xf>
    <xf numFmtId="64" fontId="9" fillId="4" borderId="54" applyNumberFormat="1" applyFont="1" applyFill="1" applyBorder="1" applyAlignment="1" applyProtection="0">
      <alignment horizontal="center" vertical="bottom"/>
    </xf>
    <xf numFmtId="64" fontId="9" fillId="4" borderId="54" applyNumberFormat="1" applyFont="1" applyFill="1" applyBorder="1" applyAlignment="1" applyProtection="0">
      <alignment horizontal="center" vertical="center" wrapText="1"/>
    </xf>
    <xf numFmtId="49" fontId="45" fillId="4" borderId="53" applyNumberFormat="1" applyFont="1" applyFill="1" applyBorder="1" applyAlignment="1" applyProtection="0">
      <alignment horizontal="center" vertical="center"/>
    </xf>
    <xf numFmtId="64" fontId="45" fillId="6" borderId="56" applyNumberFormat="1" applyFont="1" applyFill="1" applyBorder="1" applyAlignment="1" applyProtection="0">
      <alignment horizontal="center" vertical="center"/>
    </xf>
    <xf numFmtId="59" fontId="15" fillId="4" borderId="45" applyNumberFormat="1" applyFont="1" applyFill="1" applyBorder="1" applyAlignment="1" applyProtection="0">
      <alignment horizontal="center" vertical="bottom"/>
    </xf>
    <xf numFmtId="60" fontId="15" fillId="4" borderId="45" applyNumberFormat="1" applyFont="1" applyFill="1" applyBorder="1" applyAlignment="1" applyProtection="0">
      <alignment horizontal="right" vertical="bottom"/>
    </xf>
    <xf numFmtId="60" fontId="15" fillId="8" borderId="45" applyNumberFormat="1" applyFont="1" applyFill="1" applyBorder="1" applyAlignment="1" applyProtection="0">
      <alignment horizontal="center" vertical="bottom"/>
    </xf>
    <xf numFmtId="60" fontId="15" fillId="7" borderId="45" applyNumberFormat="1" applyFont="1" applyFill="1" applyBorder="1" applyAlignment="1" applyProtection="0">
      <alignment horizontal="center" vertical="bottom" wrapText="1"/>
    </xf>
    <xf numFmtId="0" fontId="15" fillId="7" borderId="45" applyNumberFormat="0" applyFont="1" applyFill="1" applyBorder="1" applyAlignment="1" applyProtection="0">
      <alignment horizontal="center" vertical="bottom" wrapText="1"/>
    </xf>
    <xf numFmtId="0" fontId="15" fillId="4" borderId="45" applyNumberFormat="0" applyFont="1" applyFill="1" applyBorder="1" applyAlignment="1" applyProtection="0">
      <alignment horizontal="center" vertical="bottom" wrapText="1"/>
    </xf>
    <xf numFmtId="60" fontId="15" fillId="8" borderId="45" applyNumberFormat="1" applyFont="1" applyFill="1" applyBorder="1" applyAlignment="1" applyProtection="0">
      <alignment horizontal="center" vertical="bottom" wrapText="1"/>
    </xf>
    <xf numFmtId="0" fontId="15" fillId="8" borderId="45" applyNumberFormat="0" applyFont="1" applyFill="1" applyBorder="1" applyAlignment="1" applyProtection="0">
      <alignment horizontal="center" vertical="bottom" wrapText="1"/>
    </xf>
    <xf numFmtId="0" fontId="15" borderId="45" applyNumberFormat="0" applyFont="1" applyFill="0" applyBorder="1" applyAlignment="1" applyProtection="0">
      <alignment horizontal="center" vertical="bottom" wrapText="1"/>
    </xf>
    <xf numFmtId="0" fontId="9" fillId="4" borderId="57" applyNumberFormat="0" applyFont="1" applyFill="1" applyBorder="1" applyAlignment="1" applyProtection="0">
      <alignment horizontal="left" vertical="bottom"/>
    </xf>
    <xf numFmtId="59" fontId="9" fillId="4" borderId="57" applyNumberFormat="1" applyFont="1" applyFill="1" applyBorder="1" applyAlignment="1" applyProtection="0">
      <alignment horizontal="right" vertical="bottom"/>
    </xf>
    <xf numFmtId="59" fontId="9" fillId="4" borderId="18" applyNumberFormat="1" applyFont="1" applyFill="1" applyBorder="1" applyAlignment="1" applyProtection="0">
      <alignment horizontal="right" vertical="bottom"/>
    </xf>
    <xf numFmtId="0" fontId="9" fillId="4" borderId="57" applyNumberFormat="0" applyFont="1" applyFill="1" applyBorder="1" applyAlignment="1" applyProtection="0">
      <alignment horizontal="center" vertical="bottom"/>
    </xf>
    <xf numFmtId="59" fontId="9" fillId="4" borderId="58" applyNumberFormat="1" applyFont="1" applyFill="1" applyBorder="1" applyAlignment="1" applyProtection="0">
      <alignment horizontal="right" vertical="bottom"/>
    </xf>
    <xf numFmtId="59" fontId="4" fillId="4" borderId="18" applyNumberFormat="1" applyFont="1" applyFill="1" applyBorder="1" applyAlignment="1" applyProtection="0">
      <alignment horizontal="center" vertical="bottom"/>
    </xf>
    <xf numFmtId="60" fontId="46" fillId="8" borderId="18" applyNumberFormat="1" applyFont="1" applyFill="1" applyBorder="1" applyAlignment="1" applyProtection="0">
      <alignment horizontal="center" vertical="bottom"/>
    </xf>
    <xf numFmtId="60" fontId="15" fillId="4" borderId="18" applyNumberFormat="1" applyFont="1" applyFill="1" applyBorder="1" applyAlignment="1" applyProtection="0">
      <alignment vertical="center"/>
    </xf>
    <xf numFmtId="60" fontId="47" fillId="7" borderId="18" applyNumberFormat="1" applyFont="1" applyFill="1" applyBorder="1" applyAlignment="1" applyProtection="0">
      <alignment horizontal="center" vertical="bottom" wrapText="1"/>
    </xf>
    <xf numFmtId="65" fontId="47" fillId="7" borderId="18" applyNumberFormat="1" applyFont="1" applyFill="1" applyBorder="1" applyAlignment="1" applyProtection="0">
      <alignment horizontal="center" vertical="bottom" wrapText="1"/>
    </xf>
    <xf numFmtId="65" fontId="47" fillId="4" borderId="18" applyNumberFormat="1" applyFont="1" applyFill="1" applyBorder="1" applyAlignment="1" applyProtection="0">
      <alignment horizontal="center" vertical="bottom" wrapText="1"/>
    </xf>
    <xf numFmtId="60" fontId="47" fillId="8" borderId="18" applyNumberFormat="1" applyFont="1" applyFill="1" applyBorder="1" applyAlignment="1" applyProtection="0">
      <alignment horizontal="center" vertical="bottom" wrapText="1"/>
    </xf>
    <xf numFmtId="65" fontId="47" fillId="8" borderId="18" applyNumberFormat="1" applyFont="1" applyFill="1" applyBorder="1" applyAlignment="1" applyProtection="0">
      <alignment horizontal="center" vertical="bottom" wrapText="1"/>
    </xf>
    <xf numFmtId="65" fontId="47" borderId="18" applyNumberFormat="1" applyFont="1" applyFill="0" applyBorder="1" applyAlignment="1" applyProtection="0">
      <alignment horizontal="center" vertical="bottom" wrapText="1"/>
    </xf>
    <xf numFmtId="60" fontId="47" fillId="8" borderId="58" applyNumberFormat="1" applyFont="1" applyFill="1" applyBorder="1" applyAlignment="1" applyProtection="0">
      <alignment horizontal="center" vertical="bottom" wrapText="1"/>
    </xf>
    <xf numFmtId="65" fontId="47" fillId="8" borderId="58" applyNumberFormat="1" applyFont="1" applyFill="1" applyBorder="1" applyAlignment="1" applyProtection="0">
      <alignment horizontal="center" vertical="bottom" wrapText="1"/>
    </xf>
    <xf numFmtId="65" fontId="48" fillId="4" borderId="58" applyNumberFormat="1" applyFont="1" applyFill="1" applyBorder="1" applyAlignment="1" applyProtection="0">
      <alignment horizontal="center" vertical="bottom" wrapText="1"/>
    </xf>
    <xf numFmtId="60" fontId="47" fillId="7" borderId="58" applyNumberFormat="1" applyFont="1" applyFill="1" applyBorder="1" applyAlignment="1" applyProtection="0">
      <alignment horizontal="center" vertical="bottom" wrapText="1"/>
    </xf>
    <xf numFmtId="65" fontId="47" fillId="7" borderId="58" applyNumberFormat="1" applyFont="1" applyFill="1" applyBorder="1" applyAlignment="1" applyProtection="0">
      <alignment horizontal="center" vertical="bottom" wrapText="1"/>
    </xf>
    <xf numFmtId="0" fontId="9" fillId="4" borderId="22" applyNumberFormat="0" applyFont="1" applyFill="1" applyBorder="1" applyAlignment="1" applyProtection="0">
      <alignment horizontal="left" vertical="bottom"/>
    </xf>
    <xf numFmtId="59" fontId="9" fillId="4" borderId="22" applyNumberFormat="1" applyFont="1" applyFill="1" applyBorder="1" applyAlignment="1" applyProtection="0">
      <alignment horizontal="right" vertical="bottom"/>
    </xf>
    <xf numFmtId="0" fontId="9" fillId="4" borderId="22" applyNumberFormat="0" applyFont="1" applyFill="1" applyBorder="1" applyAlignment="1" applyProtection="0">
      <alignment horizontal="center" vertical="bottom"/>
    </xf>
    <xf numFmtId="59" fontId="4" fillId="4" borderId="22" applyNumberFormat="1" applyFont="1" applyFill="1" applyBorder="1" applyAlignment="1" applyProtection="0">
      <alignment horizontal="center" vertical="bottom"/>
    </xf>
    <xf numFmtId="60" fontId="46" fillId="8" borderId="20" applyNumberFormat="1" applyFont="1" applyFill="1" applyBorder="1" applyAlignment="1" applyProtection="0">
      <alignment horizontal="center" vertical="bottom"/>
    </xf>
    <xf numFmtId="60" fontId="15" fillId="4" borderId="22" applyNumberFormat="1" applyFont="1" applyFill="1" applyBorder="1" applyAlignment="1" applyProtection="0">
      <alignment vertical="center"/>
    </xf>
    <xf numFmtId="60" fontId="47" fillId="7" borderId="20" applyNumberFormat="1" applyFont="1" applyFill="1" applyBorder="1" applyAlignment="1" applyProtection="0">
      <alignment horizontal="center" vertical="bottom" wrapText="1"/>
    </xf>
    <xf numFmtId="65" fontId="47" fillId="7" borderId="20" applyNumberFormat="1" applyFont="1" applyFill="1" applyBorder="1" applyAlignment="1" applyProtection="0">
      <alignment horizontal="center" vertical="bottom" wrapText="1"/>
    </xf>
    <xf numFmtId="65" fontId="47" fillId="4" borderId="20" applyNumberFormat="1" applyFont="1" applyFill="1" applyBorder="1" applyAlignment="1" applyProtection="0">
      <alignment horizontal="center" vertical="bottom" wrapText="1"/>
    </xf>
    <xf numFmtId="60" fontId="47" fillId="8" borderId="20" applyNumberFormat="1" applyFont="1" applyFill="1" applyBorder="1" applyAlignment="1" applyProtection="0">
      <alignment horizontal="center" vertical="bottom" wrapText="1"/>
    </xf>
    <xf numFmtId="65" fontId="47" fillId="8" borderId="20" applyNumberFormat="1" applyFont="1" applyFill="1" applyBorder="1" applyAlignment="1" applyProtection="0">
      <alignment horizontal="center" vertical="bottom" wrapText="1"/>
    </xf>
    <xf numFmtId="65" fontId="47" borderId="20" applyNumberFormat="1" applyFont="1" applyFill="0" applyBorder="1" applyAlignment="1" applyProtection="0">
      <alignment horizontal="center" vertical="bottom" wrapText="1"/>
    </xf>
    <xf numFmtId="65" fontId="48" fillId="4" borderId="20" applyNumberFormat="1" applyFont="1" applyFill="1" applyBorder="1" applyAlignment="1" applyProtection="0">
      <alignment horizontal="center" vertical="bottom" wrapText="1"/>
    </xf>
    <xf numFmtId="49" fontId="49" fillId="4" borderId="3" applyNumberFormat="1" applyFont="1" applyFill="1" applyBorder="1" applyAlignment="1" applyProtection="0">
      <alignment vertical="center"/>
    </xf>
    <xf numFmtId="59" fontId="9" fillId="4" borderId="3" applyNumberFormat="1" applyFont="1" applyFill="1" applyBorder="1" applyAlignment="1" applyProtection="0">
      <alignment horizontal="right" vertical="bottom"/>
    </xf>
    <xf numFmtId="0" fontId="9" fillId="4" borderId="59" applyNumberFormat="0" applyFont="1" applyFill="1" applyBorder="1" applyAlignment="1" applyProtection="0">
      <alignment horizontal="right" vertical="bottom"/>
    </xf>
    <xf numFmtId="0" fontId="9" fillId="4" borderId="3" applyNumberFormat="0" applyFont="1" applyFill="1" applyBorder="1" applyAlignment="1" applyProtection="0">
      <alignment horizontal="center" vertical="bottom"/>
    </xf>
    <xf numFmtId="59" fontId="9" fillId="4" borderId="59" applyNumberFormat="1" applyFont="1" applyFill="1" applyBorder="1" applyAlignment="1" applyProtection="0">
      <alignment horizontal="right" vertical="bottom"/>
    </xf>
    <xf numFmtId="60" fontId="4" fillId="8" borderId="2" applyNumberFormat="1" applyFont="1" applyFill="1" applyBorder="1" applyAlignment="1" applyProtection="0">
      <alignment horizontal="center" vertical="bottom"/>
    </xf>
    <xf numFmtId="60" fontId="4" fillId="4" borderId="10" applyNumberFormat="1" applyFont="1" applyFill="1" applyBorder="1" applyAlignment="1" applyProtection="0">
      <alignment vertical="bottom"/>
    </xf>
    <xf numFmtId="60" fontId="4" fillId="7" borderId="1" applyNumberFormat="1" applyFont="1" applyFill="1" applyBorder="1" applyAlignment="1" applyProtection="0">
      <alignment horizontal="center" vertical="bottom"/>
    </xf>
    <xf numFmtId="65" fontId="4" fillId="7" borderId="1" applyNumberFormat="1" applyFont="1" applyFill="1" applyBorder="1" applyAlignment="1" applyProtection="0">
      <alignment horizontal="center" vertical="bottom"/>
    </xf>
    <xf numFmtId="65" fontId="4" fillId="4" borderId="1" applyNumberFormat="1" applyFont="1" applyFill="1" applyBorder="1" applyAlignment="1" applyProtection="0">
      <alignment horizontal="center" vertical="bottom"/>
    </xf>
    <xf numFmtId="60" fontId="4" fillId="8" borderId="1" applyNumberFormat="1" applyFont="1" applyFill="1" applyBorder="1" applyAlignment="1" applyProtection="0">
      <alignment horizontal="center" vertical="bottom"/>
    </xf>
    <xf numFmtId="65" fontId="4" fillId="8" borderId="1" applyNumberFormat="1" applyFont="1" applyFill="1" applyBorder="1" applyAlignment="1" applyProtection="0">
      <alignment horizontal="center" vertical="bottom"/>
    </xf>
    <xf numFmtId="65" fontId="34" fillId="4" borderId="1" applyNumberFormat="1" applyFont="1" applyFill="1" applyBorder="1" applyAlignment="1" applyProtection="0">
      <alignment horizontal="center" vertical="bottom"/>
    </xf>
    <xf numFmtId="49" fontId="35" fillId="4" borderId="60" applyNumberFormat="1" applyFont="1" applyFill="1" applyBorder="1" applyAlignment="1" applyProtection="0">
      <alignment horizontal="center" vertical="center"/>
    </xf>
    <xf numFmtId="60" fontId="12" fillId="4" borderId="36" applyNumberFormat="1" applyFont="1" applyFill="1" applyBorder="1" applyAlignment="1" applyProtection="0">
      <alignment horizontal="center" vertical="center"/>
    </xf>
    <xf numFmtId="0" fontId="32" fillId="4" borderId="61" applyNumberFormat="0" applyFont="1" applyFill="1" applyBorder="1" applyAlignment="1" applyProtection="0">
      <alignment vertical="bottom"/>
    </xf>
    <xf numFmtId="60" fontId="50" fillId="8" borderId="62" applyNumberFormat="1" applyFont="1" applyFill="1" applyBorder="1" applyAlignment="1" applyProtection="0">
      <alignment horizontal="right" vertical="bottom"/>
    </xf>
    <xf numFmtId="60" fontId="4" fillId="4" borderId="62" applyNumberFormat="1" applyFont="1" applyFill="1" applyBorder="1" applyAlignment="1" applyProtection="0">
      <alignment vertical="bottom"/>
    </xf>
    <xf numFmtId="0" fontId="27" fillId="7" borderId="36" applyNumberFormat="0" applyFont="1" applyFill="1" applyBorder="1" applyAlignment="1" applyProtection="0">
      <alignment horizontal="center" vertical="center"/>
    </xf>
    <xf numFmtId="0" fontId="27" fillId="4" borderId="36" applyNumberFormat="0" applyFont="1" applyFill="1" applyBorder="1" applyAlignment="1" applyProtection="0">
      <alignment horizontal="center" vertical="center"/>
    </xf>
    <xf numFmtId="0" fontId="27" fillId="8" borderId="36" applyNumberFormat="0" applyFont="1" applyFill="1" applyBorder="1" applyAlignment="1" applyProtection="0">
      <alignment horizontal="center" vertical="center"/>
    </xf>
    <xf numFmtId="0" fontId="27" borderId="36" applyNumberFormat="0" applyFont="1" applyFill="0" applyBorder="1" applyAlignment="1" applyProtection="0">
      <alignment horizontal="center" vertical="center"/>
    </xf>
    <xf numFmtId="0" fontId="51" fillId="4" borderId="36" applyNumberFormat="0" applyFont="1" applyFill="1" applyBorder="1" applyAlignment="1" applyProtection="0">
      <alignment horizontal="center" vertical="center"/>
    </xf>
    <xf numFmtId="49" fontId="9" fillId="4" borderId="38" applyNumberFormat="1" applyFont="1" applyFill="1" applyBorder="1" applyAlignment="1" applyProtection="0">
      <alignment horizontal="left" vertical="center"/>
    </xf>
    <xf numFmtId="49" fontId="9" fillId="4" borderId="36" applyNumberFormat="1" applyFont="1" applyFill="1" applyBorder="1" applyAlignment="1" applyProtection="0">
      <alignment horizontal="center" vertical="center"/>
    </xf>
    <xf numFmtId="0" fontId="36" fillId="4" borderId="36" applyNumberFormat="0" applyFont="1" applyFill="1" applyBorder="1" applyAlignment="1" applyProtection="0">
      <alignment horizontal="center" vertical="bottom"/>
    </xf>
    <xf numFmtId="0" fontId="35" fillId="4" borderId="36" applyNumberFormat="0" applyFont="1" applyFill="1" applyBorder="1" applyAlignment="1" applyProtection="0">
      <alignment horizontal="center" vertical="bottom"/>
    </xf>
    <xf numFmtId="14" fontId="9" fillId="6" borderId="38" applyNumberFormat="1" applyFont="1" applyFill="1" applyBorder="1" applyAlignment="1" applyProtection="0">
      <alignment horizontal="center" vertical="center"/>
    </xf>
    <xf numFmtId="49" fontId="29" fillId="4" borderId="45" applyNumberFormat="1" applyFont="1" applyFill="1" applyBorder="1" applyAlignment="1" applyProtection="0">
      <alignment horizontal="left" vertical="center" wrapText="1"/>
    </xf>
    <xf numFmtId="64" fontId="9" fillId="4" borderId="63" applyNumberFormat="1" applyFont="1" applyFill="1" applyBorder="1" applyAlignment="1" applyProtection="0">
      <alignment horizontal="center" vertical="center"/>
    </xf>
    <xf numFmtId="64" fontId="9" fillId="4" borderId="36" applyNumberFormat="1" applyFont="1" applyFill="1" applyBorder="1" applyAlignment="1" applyProtection="0">
      <alignment horizontal="center" vertical="center"/>
    </xf>
    <xf numFmtId="64" fontId="9" fillId="4" borderId="38" applyNumberFormat="1" applyFont="1" applyFill="1" applyBorder="1" applyAlignment="1" applyProtection="0">
      <alignment horizontal="center" vertical="center"/>
    </xf>
    <xf numFmtId="49" fontId="9" fillId="4" borderId="38" applyNumberFormat="1" applyFont="1" applyFill="1" applyBorder="1" applyAlignment="1" applyProtection="0">
      <alignment horizontal="center" vertical="center" wrapText="1"/>
    </xf>
    <xf numFmtId="49" fontId="9" fillId="4" borderId="64" applyNumberFormat="1" applyFont="1" applyFill="1" applyBorder="1" applyAlignment="1" applyProtection="0">
      <alignment horizontal="center" vertical="center" wrapText="1"/>
    </xf>
    <xf numFmtId="49" fontId="9" fillId="6" borderId="64" applyNumberFormat="1" applyFont="1" applyFill="1" applyBorder="1" applyAlignment="1" applyProtection="0">
      <alignment horizontal="center" vertical="center"/>
    </xf>
    <xf numFmtId="49" fontId="29" fillId="4" borderId="47" applyNumberFormat="1" applyFont="1" applyFill="1" applyBorder="1" applyAlignment="1" applyProtection="0">
      <alignment horizontal="left" vertical="center" wrapText="1"/>
    </xf>
    <xf numFmtId="64" fontId="9" fillId="4" borderId="47" applyNumberFormat="1" applyFont="1" applyFill="1" applyBorder="1" applyAlignment="1" applyProtection="0">
      <alignment horizontal="center" vertical="center" wrapText="1"/>
    </xf>
    <xf numFmtId="49" fontId="9" fillId="4" borderId="40" applyNumberFormat="1" applyFont="1" applyFill="1" applyBorder="1" applyAlignment="1" applyProtection="0">
      <alignment horizontal="center" vertical="center" wrapText="1"/>
    </xf>
    <xf numFmtId="49" fontId="9" fillId="4" borderId="46" applyNumberFormat="1" applyFont="1" applyFill="1" applyBorder="1" applyAlignment="1" applyProtection="0">
      <alignment horizontal="center" vertical="center" wrapText="1"/>
    </xf>
    <xf numFmtId="49" fontId="9" fillId="6" borderId="47" applyNumberFormat="1" applyFont="1" applyFill="1" applyBorder="1" applyAlignment="1" applyProtection="0">
      <alignment horizontal="center" vertical="center"/>
    </xf>
    <xf numFmtId="60" fontId="4" fillId="8" borderId="47" applyNumberFormat="1" applyFont="1" applyFill="1" applyBorder="1" applyAlignment="1" applyProtection="0">
      <alignment horizontal="center" vertical="bottom"/>
    </xf>
    <xf numFmtId="60" fontId="4" fillId="4" borderId="47" applyNumberFormat="1" applyFont="1" applyFill="1" applyBorder="1" applyAlignment="1" applyProtection="0">
      <alignment horizontal="right" vertical="bottom"/>
    </xf>
    <xf numFmtId="49" fontId="9" fillId="4" borderId="65" applyNumberFormat="1" applyFont="1" applyFill="1" applyBorder="1" applyAlignment="1" applyProtection="0">
      <alignment horizontal="center" vertical="center" wrapText="1"/>
    </xf>
    <xf numFmtId="49" fontId="9" fillId="6" borderId="41" applyNumberFormat="1" applyFont="1" applyFill="1" applyBorder="1" applyAlignment="1" applyProtection="0">
      <alignment horizontal="center" vertical="center"/>
    </xf>
    <xf numFmtId="49" fontId="29" fillId="4" borderId="52" applyNumberFormat="1" applyFont="1" applyFill="1" applyBorder="1" applyAlignment="1" applyProtection="0">
      <alignment horizontal="left" vertical="center" wrapText="1"/>
    </xf>
    <xf numFmtId="64" fontId="9" fillId="4" borderId="66" applyNumberFormat="1" applyFont="1" applyFill="1" applyBorder="1" applyAlignment="1" applyProtection="0">
      <alignment horizontal="center" vertical="center" wrapText="1"/>
    </xf>
    <xf numFmtId="0" fontId="9" fillId="4" borderId="37" applyNumberFormat="0" applyFont="1" applyFill="1" applyBorder="1" applyAlignment="1" applyProtection="0">
      <alignment horizontal="center" vertical="center" wrapText="1"/>
    </xf>
    <xf numFmtId="49" fontId="9" fillId="4" borderId="67" applyNumberFormat="1" applyFont="1" applyFill="1" applyBorder="1" applyAlignment="1" applyProtection="0">
      <alignment horizontal="center" vertical="center" wrapText="1"/>
    </xf>
    <xf numFmtId="49" fontId="9" fillId="6" borderId="52" applyNumberFormat="1" applyFont="1" applyFill="1" applyBorder="1" applyAlignment="1" applyProtection="0">
      <alignment horizontal="center" vertical="center"/>
    </xf>
    <xf numFmtId="60" fontId="4" fillId="8" borderId="68" applyNumberFormat="1" applyFont="1" applyFill="1" applyBorder="1" applyAlignment="1" applyProtection="0">
      <alignment horizontal="center" vertical="bottom"/>
    </xf>
    <xf numFmtId="60" fontId="4" fillId="4" borderId="68" applyNumberFormat="1" applyFont="1" applyFill="1" applyBorder="1" applyAlignment="1" applyProtection="0">
      <alignment horizontal="right" vertical="bottom"/>
    </xf>
    <xf numFmtId="49" fontId="9" fillId="4" borderId="54" applyNumberFormat="1" applyFont="1" applyFill="1" applyBorder="1" applyAlignment="1" applyProtection="0">
      <alignment horizontal="left" vertical="center" wrapText="1"/>
    </xf>
    <xf numFmtId="64" fontId="9" fillId="4" borderId="69" applyNumberFormat="1" applyFont="1" applyFill="1" applyBorder="1" applyAlignment="1" applyProtection="0">
      <alignment horizontal="center" vertical="center"/>
    </xf>
    <xf numFmtId="64" fontId="9" fillId="4" borderId="70" applyNumberFormat="1" applyFont="1" applyFill="1" applyBorder="1" applyAlignment="1" applyProtection="0">
      <alignment horizontal="center" vertical="center"/>
    </xf>
    <xf numFmtId="49" fontId="9" fillId="4" borderId="70" applyNumberFormat="1" applyFont="1" applyFill="1" applyBorder="1" applyAlignment="1" applyProtection="0">
      <alignment horizontal="center" vertical="center" wrapText="1"/>
    </xf>
    <xf numFmtId="64" fontId="9" fillId="4" borderId="71" applyNumberFormat="1" applyFont="1" applyFill="1" applyBorder="1" applyAlignment="1" applyProtection="0">
      <alignment horizontal="center" vertical="center"/>
    </xf>
    <xf numFmtId="60" fontId="12" fillId="4" borderId="72" applyNumberFormat="1" applyFont="1" applyFill="1" applyBorder="1" applyAlignment="1" applyProtection="0">
      <alignment horizontal="center" vertical="center"/>
    </xf>
    <xf numFmtId="0" fontId="32" fillId="4" borderId="72" applyNumberFormat="0" applyFont="1" applyFill="1" applyBorder="1" applyAlignment="1" applyProtection="0">
      <alignment vertical="bottom"/>
    </xf>
    <xf numFmtId="60" fontId="50" fillId="8" borderId="73" applyNumberFormat="1" applyFont="1" applyFill="1" applyBorder="1" applyAlignment="1" applyProtection="0">
      <alignment horizontal="right" vertical="bottom"/>
    </xf>
    <xf numFmtId="60" fontId="4" fillId="4" borderId="73" applyNumberFormat="1" applyFont="1" applyFill="1" applyBorder="1" applyAlignment="1" applyProtection="0">
      <alignment vertical="bottom"/>
    </xf>
    <xf numFmtId="0" fontId="27" fillId="7" borderId="72" applyNumberFormat="0" applyFont="1" applyFill="1" applyBorder="1" applyAlignment="1" applyProtection="0">
      <alignment horizontal="center" vertical="center"/>
    </xf>
    <xf numFmtId="0" fontId="27" fillId="4" borderId="72" applyNumberFormat="0" applyFont="1" applyFill="1" applyBorder="1" applyAlignment="1" applyProtection="0">
      <alignment horizontal="center" vertical="center"/>
    </xf>
    <xf numFmtId="0" fontId="27" fillId="8" borderId="72" applyNumberFormat="0" applyFont="1" applyFill="1" applyBorder="1" applyAlignment="1" applyProtection="0">
      <alignment horizontal="center" vertical="center"/>
    </xf>
    <xf numFmtId="0" fontId="27" borderId="72" applyNumberFormat="0" applyFont="1" applyFill="0" applyBorder="1" applyAlignment="1" applyProtection="0">
      <alignment horizontal="center" vertical="center"/>
    </xf>
    <xf numFmtId="0" fontId="51" fillId="4" borderId="72" applyNumberFormat="0" applyFont="1" applyFill="1" applyBorder="1" applyAlignment="1" applyProtection="0">
      <alignment horizontal="center" vertical="center"/>
    </xf>
    <xf numFmtId="49" fontId="29" fillId="4" borderId="55" applyNumberFormat="1" applyFont="1" applyFill="1" applyBorder="1" applyAlignment="1" applyProtection="0">
      <alignment vertical="center"/>
    </xf>
    <xf numFmtId="64" fontId="9" fillId="4" borderId="55" applyNumberFormat="1" applyFont="1" applyFill="1" applyBorder="1" applyAlignment="1" applyProtection="0">
      <alignment horizontal="center" vertical="center"/>
    </xf>
    <xf numFmtId="49" fontId="9" fillId="4" borderId="55" applyNumberFormat="1" applyFont="1" applyFill="1" applyBorder="1" applyAlignment="1" applyProtection="0">
      <alignment horizontal="center" vertical="center"/>
    </xf>
    <xf numFmtId="49" fontId="9" fillId="6" borderId="55" applyNumberFormat="1" applyFont="1" applyFill="1" applyBorder="1" applyAlignment="1" applyProtection="0">
      <alignment horizontal="center" vertical="center"/>
    </xf>
    <xf numFmtId="60" fontId="12" fillId="4" borderId="41" applyNumberFormat="1" applyFont="1" applyFill="1" applyBorder="1" applyAlignment="1" applyProtection="0">
      <alignment horizontal="center" vertical="center"/>
    </xf>
    <xf numFmtId="0" fontId="32" fillId="4" borderId="41" applyNumberFormat="0" applyFont="1" applyFill="1" applyBorder="1" applyAlignment="1" applyProtection="0">
      <alignment vertical="bottom"/>
    </xf>
    <xf numFmtId="60" fontId="50" fillId="8" borderId="46" applyNumberFormat="1" applyFont="1" applyFill="1" applyBorder="1" applyAlignment="1" applyProtection="0">
      <alignment horizontal="right" vertical="bottom"/>
    </xf>
    <xf numFmtId="60" fontId="4" fillId="4" borderId="46" applyNumberFormat="1" applyFont="1" applyFill="1" applyBorder="1" applyAlignment="1" applyProtection="0">
      <alignment vertical="bottom"/>
    </xf>
    <xf numFmtId="0" fontId="27" fillId="7" borderId="41" applyNumberFormat="0" applyFont="1" applyFill="1" applyBorder="1" applyAlignment="1" applyProtection="0">
      <alignment horizontal="center" vertical="center"/>
    </xf>
    <xf numFmtId="0" fontId="27" fillId="4" borderId="41" applyNumberFormat="0" applyFont="1" applyFill="1" applyBorder="1" applyAlignment="1" applyProtection="0">
      <alignment horizontal="center" vertical="center"/>
    </xf>
    <xf numFmtId="0" fontId="27" fillId="8" borderId="41" applyNumberFormat="0" applyFont="1" applyFill="1" applyBorder="1" applyAlignment="1" applyProtection="0">
      <alignment horizontal="center" vertical="center"/>
    </xf>
    <xf numFmtId="0" fontId="27" borderId="41" applyNumberFormat="0" applyFont="1" applyFill="0" applyBorder="1" applyAlignment="1" applyProtection="0">
      <alignment horizontal="center" vertical="center"/>
    </xf>
    <xf numFmtId="0" fontId="51" fillId="4" borderId="41" applyNumberFormat="0" applyFont="1" applyFill="1" applyBorder="1" applyAlignment="1" applyProtection="0">
      <alignment horizontal="center" vertical="center"/>
    </xf>
    <xf numFmtId="64" fontId="9" fillId="4" borderId="46" applyNumberFormat="1" applyFont="1" applyFill="1" applyBorder="1" applyAlignment="1" applyProtection="0">
      <alignment horizontal="center" vertical="center"/>
    </xf>
    <xf numFmtId="64" fontId="9" fillId="4" borderId="46" applyNumberFormat="1" applyFont="1" applyFill="1" applyBorder="1" applyAlignment="1" applyProtection="0">
      <alignment horizontal="center" vertical="bottom"/>
    </xf>
    <xf numFmtId="49" fontId="9" fillId="6" borderId="46" applyNumberFormat="1" applyFont="1" applyFill="1" applyBorder="1" applyAlignment="1" applyProtection="0">
      <alignment horizontal="center" vertical="center"/>
    </xf>
    <xf numFmtId="64" fontId="9" fillId="4" borderId="46" applyNumberFormat="1" applyFont="1" applyFill="1" applyBorder="1" applyAlignment="1" applyProtection="0">
      <alignment horizontal="center" vertical="center" wrapText="1"/>
    </xf>
    <xf numFmtId="49" fontId="29" fillId="4" borderId="74" applyNumberFormat="1" applyFont="1" applyFill="1" applyBorder="1" applyAlignment="1" applyProtection="0">
      <alignment vertical="center"/>
    </xf>
    <xf numFmtId="64" fontId="9" fillId="4" borderId="74" applyNumberFormat="1" applyFont="1" applyFill="1" applyBorder="1" applyAlignment="1" applyProtection="0">
      <alignment horizontal="center" vertical="center"/>
    </xf>
    <xf numFmtId="64" fontId="9" fillId="4" borderId="74" applyNumberFormat="1" applyFont="1" applyFill="1" applyBorder="1" applyAlignment="1" applyProtection="0">
      <alignment horizontal="center" vertical="bottom"/>
    </xf>
    <xf numFmtId="49" fontId="9" fillId="4" borderId="74" applyNumberFormat="1" applyFont="1" applyFill="1" applyBorder="1" applyAlignment="1" applyProtection="0">
      <alignment horizontal="center" vertical="center"/>
    </xf>
    <xf numFmtId="49" fontId="9" fillId="6" borderId="74" applyNumberFormat="1" applyFont="1" applyFill="1" applyBorder="1" applyAlignment="1" applyProtection="0">
      <alignment horizontal="center" vertical="center"/>
    </xf>
    <xf numFmtId="49" fontId="45" fillId="4" borderId="54" applyNumberFormat="1" applyFont="1" applyFill="1" applyBorder="1" applyAlignment="1" applyProtection="0">
      <alignment vertical="center"/>
    </xf>
    <xf numFmtId="49" fontId="45" fillId="4" borderId="54" applyNumberFormat="1" applyFont="1" applyFill="1" applyBorder="1" applyAlignment="1" applyProtection="0">
      <alignment horizontal="center" vertical="center"/>
    </xf>
    <xf numFmtId="49" fontId="45" fillId="6" borderId="54" applyNumberFormat="1" applyFont="1" applyFill="1" applyBorder="1" applyAlignment="1" applyProtection="0">
      <alignment horizontal="center" vertical="center"/>
    </xf>
    <xf numFmtId="0" fontId="12" fillId="4" borderId="75" applyNumberFormat="0" applyFont="1" applyFill="1" applyBorder="1" applyAlignment="1" applyProtection="0">
      <alignment horizontal="left" vertical="bottom"/>
    </xf>
    <xf numFmtId="0" fontId="32" fillId="4" borderId="76" applyNumberFormat="0" applyFont="1" applyFill="1" applyBorder="1" applyAlignment="1" applyProtection="0">
      <alignment vertical="bottom"/>
    </xf>
    <xf numFmtId="0" fontId="32" fillId="4" borderId="77" applyNumberFormat="0" applyFont="1" applyFill="1" applyBorder="1" applyAlignment="1" applyProtection="0">
      <alignment vertical="bottom"/>
    </xf>
    <xf numFmtId="60" fontId="12" fillId="4" borderId="1" applyNumberFormat="1" applyFont="1" applyFill="1" applyBorder="1" applyAlignment="1" applyProtection="0">
      <alignment horizontal="center" vertical="center"/>
    </xf>
    <xf numFmtId="60" fontId="50" fillId="8" borderId="10" applyNumberFormat="1" applyFont="1" applyFill="1" applyBorder="1" applyAlignment="1" applyProtection="0">
      <alignment horizontal="right" vertical="bottom"/>
    </xf>
    <xf numFmtId="0" fontId="27" fillId="7" borderId="1" applyNumberFormat="0" applyFont="1" applyFill="1" applyBorder="1" applyAlignment="1" applyProtection="0">
      <alignment horizontal="center" vertical="center"/>
    </xf>
    <xf numFmtId="0" fontId="27" fillId="4" borderId="1" applyNumberFormat="0" applyFont="1" applyFill="1" applyBorder="1" applyAlignment="1" applyProtection="0">
      <alignment horizontal="center" vertical="center"/>
    </xf>
    <xf numFmtId="0" fontId="27" fillId="8" borderId="1" applyNumberFormat="0" applyFont="1" applyFill="1" applyBorder="1" applyAlignment="1" applyProtection="0">
      <alignment horizontal="center" vertical="center"/>
    </xf>
    <xf numFmtId="0" fontId="27" borderId="1" applyNumberFormat="0" applyFont="1" applyFill="0" applyBorder="1" applyAlignment="1" applyProtection="0">
      <alignment horizontal="center" vertical="center"/>
    </xf>
    <xf numFmtId="0" fontId="51" fillId="4" borderId="1" applyNumberFormat="0" applyFont="1" applyFill="1" applyBorder="1" applyAlignment="1" applyProtection="0">
      <alignment horizontal="center" vertical="center"/>
    </xf>
    <xf numFmtId="0" fontId="12" fillId="4" borderId="12" applyNumberFormat="0" applyFont="1" applyFill="1" applyBorder="1" applyAlignment="1" applyProtection="0">
      <alignment horizontal="left" vertical="bottom"/>
    </xf>
    <xf numFmtId="0" fontId="32" fillId="4" borderId="14" applyNumberFormat="0" applyFont="1" applyFill="1" applyBorder="1" applyAlignment="1" applyProtection="0">
      <alignment vertical="bottom"/>
    </xf>
    <xf numFmtId="0" fontId="0" applyNumberFormat="1" applyFont="1" applyFill="0" applyBorder="0" applyAlignment="1" applyProtection="0">
      <alignment vertical="bottom"/>
    </xf>
    <xf numFmtId="49" fontId="52" borderId="1" applyNumberFormat="1" applyFont="1" applyFill="0" applyBorder="1" applyAlignment="1" applyProtection="0">
      <alignment vertical="center"/>
    </xf>
    <xf numFmtId="0" fontId="11" borderId="2" applyNumberFormat="0" applyFont="1" applyFill="0" applyBorder="1" applyAlignment="1" applyProtection="0">
      <alignment horizontal="left" vertical="bottom"/>
    </xf>
    <xf numFmtId="0" fontId="11" borderId="2" applyNumberFormat="0" applyFont="1" applyFill="0" applyBorder="1" applyAlignment="1" applyProtection="0">
      <alignment horizontal="center" vertical="bottom"/>
    </xf>
    <xf numFmtId="0" fontId="29" fillId="4" borderId="31" applyNumberFormat="0" applyFont="1" applyFill="1" applyBorder="1" applyAlignment="1" applyProtection="0">
      <alignment vertical="bottom"/>
    </xf>
    <xf numFmtId="3" fontId="0" fillId="4" borderId="78" applyNumberFormat="1" applyFont="1" applyFill="1" applyBorder="1" applyAlignment="1" applyProtection="0">
      <alignment vertical="bottom"/>
    </xf>
    <xf numFmtId="59" fontId="0" fillId="4" borderId="22" applyNumberFormat="1" applyFont="1" applyFill="1" applyBorder="1" applyAlignment="1" applyProtection="0">
      <alignment vertical="bottom"/>
    </xf>
    <xf numFmtId="0" fontId="16" fillId="4" borderId="14" applyNumberFormat="0" applyFont="1" applyFill="1" applyBorder="1" applyAlignment="1" applyProtection="0">
      <alignment horizontal="right" vertical="center"/>
    </xf>
    <xf numFmtId="49" fontId="16" fillId="4" borderId="10" applyNumberFormat="1" applyFont="1" applyFill="1" applyBorder="1" applyAlignment="1" applyProtection="0">
      <alignment horizontal="right" vertical="center"/>
    </xf>
    <xf numFmtId="59" fontId="16" fillId="4" borderId="10" applyNumberFormat="1" applyFont="1" applyFill="1" applyBorder="1" applyAlignment="1" applyProtection="0">
      <alignment vertical="center" readingOrder="1"/>
    </xf>
    <xf numFmtId="67" fontId="4" fillId="4" borderId="12" applyNumberFormat="1" applyFont="1" applyFill="1" applyBorder="1" applyAlignment="1" applyProtection="0">
      <alignment horizontal="left" vertical="bottom"/>
    </xf>
    <xf numFmtId="0" fontId="13" fillId="4" borderId="27" applyNumberFormat="0" applyFont="1" applyFill="1" applyBorder="1" applyAlignment="1" applyProtection="0">
      <alignment horizontal="right" vertical="center"/>
    </xf>
    <xf numFmtId="0" fontId="0" fillId="4" borderId="3" applyNumberFormat="0" applyFont="1" applyFill="1" applyBorder="1" applyAlignment="1" applyProtection="0">
      <alignment vertical="bottom"/>
    </xf>
    <xf numFmtId="0" fontId="16" fillId="4" borderId="3" applyNumberFormat="0" applyFont="1" applyFill="1" applyBorder="1" applyAlignment="1" applyProtection="0">
      <alignment horizontal="right" vertical="center"/>
    </xf>
    <xf numFmtId="59" fontId="16" fillId="4" borderId="3" applyNumberFormat="1" applyFont="1" applyFill="1" applyBorder="1" applyAlignment="1" applyProtection="0">
      <alignment vertical="center" readingOrder="1"/>
    </xf>
    <xf numFmtId="0" fontId="13" fillId="4" borderId="79" applyNumberFormat="0" applyFont="1" applyFill="1" applyBorder="1" applyAlignment="1" applyProtection="0">
      <alignment horizontal="right" vertical="center"/>
    </xf>
    <xf numFmtId="0" fontId="0" fillId="4" borderId="9" applyNumberFormat="0" applyFont="1" applyFill="1" applyBorder="1" applyAlignment="1" applyProtection="0">
      <alignment vertical="bottom"/>
    </xf>
    <xf numFmtId="49" fontId="13" fillId="4" borderId="9" applyNumberFormat="1" applyFont="1" applyFill="1" applyBorder="1" applyAlignment="1" applyProtection="0">
      <alignment horizontal="right" vertical="center"/>
    </xf>
    <xf numFmtId="59" fontId="13" fillId="4" borderId="9" applyNumberFormat="1" applyFont="1" applyFill="1" applyBorder="1" applyAlignment="1" applyProtection="0">
      <alignment horizontal="center" vertical="center"/>
    </xf>
    <xf numFmtId="0" fontId="13" fillId="4" borderId="80" applyNumberFormat="0" applyFont="1" applyFill="1" applyBorder="1" applyAlignment="1" applyProtection="0">
      <alignment horizontal="right" vertical="center"/>
    </xf>
    <xf numFmtId="0" fontId="13" fillId="4" borderId="10" applyNumberFormat="0" applyFont="1" applyFill="1" applyBorder="1" applyAlignment="1" applyProtection="0">
      <alignment horizontal="right" vertical="center"/>
    </xf>
    <xf numFmtId="59" fontId="13" fillId="4" borderId="10" applyNumberFormat="1" applyFont="1" applyFill="1" applyBorder="1" applyAlignment="1" applyProtection="0">
      <alignment horizontal="center" vertical="center"/>
    </xf>
    <xf numFmtId="0" fontId="13" fillId="4" borderId="81" applyNumberFormat="0" applyFont="1" applyFill="1" applyBorder="1" applyAlignment="1" applyProtection="0">
      <alignment horizontal="right" vertical="center"/>
    </xf>
    <xf numFmtId="0" fontId="13" fillId="4" borderId="18" applyNumberFormat="0" applyFont="1" applyFill="1" applyBorder="1" applyAlignment="1" applyProtection="0">
      <alignment horizontal="right" vertical="center"/>
    </xf>
    <xf numFmtId="59" fontId="13" fillId="4" borderId="18" applyNumberFormat="1" applyFont="1" applyFill="1" applyBorder="1" applyAlignment="1" applyProtection="0">
      <alignment horizontal="center" vertical="center"/>
    </xf>
    <xf numFmtId="59" fontId="16" fillId="4" borderId="22" applyNumberFormat="1" applyFont="1" applyFill="1" applyBorder="1" applyAlignment="1" applyProtection="0">
      <alignment horizontal="center" vertical="bottom"/>
    </xf>
    <xf numFmtId="0" fontId="13" fillId="4" borderId="82" applyNumberFormat="0" applyFont="1" applyFill="1" applyBorder="1" applyAlignment="1" applyProtection="0">
      <alignment horizontal="right" vertical="center"/>
    </xf>
    <xf numFmtId="0" fontId="4" fillId="4" borderId="80" applyNumberFormat="0" applyFont="1" applyFill="1" applyBorder="1" applyAlignment="1" applyProtection="0">
      <alignment horizontal="center" vertical="bottom"/>
    </xf>
    <xf numFmtId="49" fontId="13" fillId="4" borderId="10" applyNumberFormat="1" applyFont="1" applyFill="1" applyBorder="1" applyAlignment="1" applyProtection="0">
      <alignment horizontal="right" vertical="center"/>
    </xf>
    <xf numFmtId="59" fontId="16" fillId="4" borderId="83" applyNumberFormat="1" applyFont="1" applyFill="1" applyBorder="1" applyAlignment="1" applyProtection="0">
      <alignment horizontal="center" vertical="center"/>
    </xf>
    <xf numFmtId="59" fontId="13" fillId="4" borderId="83" applyNumberFormat="1" applyFont="1" applyFill="1" applyBorder="1" applyAlignment="1" applyProtection="0">
      <alignment horizontal="center" vertical="center"/>
    </xf>
    <xf numFmtId="59" fontId="13" fillId="4" borderId="84" applyNumberFormat="1" applyFont="1" applyFill="1" applyBorder="1" applyAlignment="1" applyProtection="0">
      <alignment horizontal="center" vertical="center"/>
    </xf>
    <xf numFmtId="3" fontId="0" fillId="4" borderId="32" applyNumberFormat="1" applyFont="1" applyFill="1" applyBorder="1" applyAlignment="1" applyProtection="0">
      <alignment vertical="bottom"/>
    </xf>
    <xf numFmtId="0" fontId="13" fillId="4" borderId="85" applyNumberFormat="0" applyFont="1" applyFill="1" applyBorder="1" applyAlignment="1" applyProtection="0">
      <alignment horizontal="right" vertical="center"/>
    </xf>
    <xf numFmtId="49" fontId="16" fillId="4" borderId="3" applyNumberFormat="1" applyFont="1" applyFill="1" applyBorder="1" applyAlignment="1" applyProtection="0">
      <alignment horizontal="right" vertical="center"/>
    </xf>
    <xf numFmtId="59" fontId="16" fillId="4" borderId="86" applyNumberFormat="1" applyFont="1" applyFill="1" applyBorder="1" applyAlignment="1" applyProtection="0">
      <alignment horizontal="center" vertical="center"/>
    </xf>
    <xf numFmtId="0" fontId="0" applyNumberFormat="1" applyFont="1" applyFill="0" applyBorder="0" applyAlignment="1" applyProtection="0">
      <alignment vertical="bottom"/>
    </xf>
    <xf numFmtId="0" fontId="52" borderId="1" applyNumberFormat="0" applyFont="1" applyFill="0" applyBorder="1" applyAlignment="1" applyProtection="0">
      <alignment vertical="center"/>
    </xf>
    <xf numFmtId="49" fontId="5" fillId="4" borderId="18" applyNumberFormat="1" applyFont="1" applyFill="1" applyBorder="1" applyAlignment="1" applyProtection="0">
      <alignment vertical="bottom"/>
    </xf>
    <xf numFmtId="3" fontId="5" fillId="4" borderId="18" applyNumberFormat="1" applyFont="1" applyFill="1" applyBorder="1" applyAlignment="1" applyProtection="0">
      <alignment horizontal="center" vertical="bottom"/>
    </xf>
    <xf numFmtId="0" fontId="5" fillId="4" borderId="18" applyNumberFormat="0" applyFont="1" applyFill="1" applyBorder="1" applyAlignment="1" applyProtection="0">
      <alignment horizontal="center" vertical="bottom"/>
    </xf>
    <xf numFmtId="60" fontId="5" fillId="4" borderId="18" applyNumberFormat="1" applyFont="1" applyFill="1" applyBorder="1" applyAlignment="1" applyProtection="0">
      <alignment horizontal="center" vertical="bottom"/>
    </xf>
    <xf numFmtId="49" fontId="12" fillId="4" borderId="20" applyNumberFormat="1" applyFont="1" applyFill="1" applyBorder="1" applyAlignment="1" applyProtection="0">
      <alignment horizontal="left" vertical="top" wrapText="1"/>
    </xf>
    <xf numFmtId="49" fontId="5" fillId="4" borderId="87" applyNumberFormat="1" applyFont="1" applyFill="1" applyBorder="1" applyAlignment="1" applyProtection="0">
      <alignment vertical="bottom"/>
    </xf>
    <xf numFmtId="49" fontId="12" fillId="4" borderId="31" applyNumberFormat="1" applyFont="1" applyFill="1" applyBorder="1" applyAlignment="1" applyProtection="0">
      <alignment horizontal="left" vertical="top" wrapText="1"/>
    </xf>
    <xf numFmtId="0" fontId="0" fillId="4" borderId="31" applyNumberFormat="0" applyFont="1" applyFill="1" applyBorder="1" applyAlignment="1" applyProtection="0">
      <alignment vertical="bottom"/>
    </xf>
    <xf numFmtId="0" fontId="0" fillId="4" borderId="12" applyNumberFormat="0"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525252"/>
      <rgbColor rgb="ffdddddd"/>
      <rgbColor rgb="ffff0900"/>
      <rgbColor rgb="ffd5d5d5"/>
      <rgbColor rgb="ffeaeaea"/>
      <rgbColor rgb="ffa7a7a7"/>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s>

</file>

<file path=xl/drawings/_rels/drawing1.xml.rels><?xml version="1.0" encoding="UTF-8"?>
<Relationships xmlns="http://schemas.openxmlformats.org/package/2006/relationships"><Relationship Id="rId1" Type="http://schemas.openxmlformats.org/officeDocument/2006/relationships/image" Target="../media/image1.jpeg"/></Relationships>

</file>

<file path=xl/drawings/_rels/drawing2.xml.rels><?xml version="1.0" encoding="UTF-8"?>
<Relationships xmlns="http://schemas.openxmlformats.org/package/2006/relationships"><Relationship Id="rId1" Type="http://schemas.openxmlformats.org/officeDocument/2006/relationships/image" Target="../media/image1.jpeg"/></Relationships>

</file>

<file path=xl/drawings/_rels/drawing3.xml.rels><?xml version="1.0" encoding="UTF-8"?>
<Relationships xmlns="http://schemas.openxmlformats.org/package/2006/relationships"><Relationship Id="rId1" Type="http://schemas.openxmlformats.org/officeDocument/2006/relationships/image" Target="../media/image1.jpeg"/></Relationships>

</file>

<file path=xl/drawings/_rels/drawing4.xml.rels><?xml version="1.0" encoding="UTF-8"?>
<Relationships xmlns="http://schemas.openxmlformats.org/package/2006/relationships"><Relationship Id="rId1" Type="http://schemas.openxmlformats.org/officeDocument/2006/relationships/image" Target="../media/image1.jpeg"/></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3</xdr:col>
      <xdr:colOff>738611</xdr:colOff>
      <xdr:row>0</xdr:row>
      <xdr:rowOff>0</xdr:rowOff>
    </xdr:from>
    <xdr:to>
      <xdr:col>4</xdr:col>
      <xdr:colOff>698499</xdr:colOff>
      <xdr:row>3</xdr:row>
      <xdr:rowOff>139701</xdr:rowOff>
    </xdr:to>
    <xdr:pic>
      <xdr:nvPicPr>
        <xdr:cNvPr id="14" name="Marpa Logo_With Text_Marpa Only_RGB.jpg" descr="Marpa Logo_With Text_Marpa Only_RGB.jpg"/>
        <xdr:cNvPicPr>
          <a:picLocks noChangeAspect="1"/>
        </xdr:cNvPicPr>
      </xdr:nvPicPr>
      <xdr:blipFill>
        <a:blip r:embed="rId1">
          <a:extLst/>
        </a:blip>
        <a:stretch>
          <a:fillRect/>
        </a:stretch>
      </xdr:blipFill>
      <xdr:spPr>
        <a:xfrm>
          <a:off x="5031211" y="-88902"/>
          <a:ext cx="785389" cy="774702"/>
        </a:xfrm>
        <a:prstGeom prst="rect">
          <a:avLst/>
        </a:prstGeom>
        <a:ln w="12700" cap="flat">
          <a:noFill/>
          <a:miter lim="400000"/>
        </a:ln>
        <a:effectLst/>
      </xdr:spPr>
    </xdr:pic>
    <xdr:clientData/>
  </xdr:twoCellAnchor>
</xdr:wsDr>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7</xdr:col>
      <xdr:colOff>998961</xdr:colOff>
      <xdr:row>0</xdr:row>
      <xdr:rowOff>0</xdr:rowOff>
    </xdr:from>
    <xdr:to>
      <xdr:col>32</xdr:col>
      <xdr:colOff>6349</xdr:colOff>
      <xdr:row>3</xdr:row>
      <xdr:rowOff>88901</xdr:rowOff>
    </xdr:to>
    <xdr:pic>
      <xdr:nvPicPr>
        <xdr:cNvPr id="18" name="Marpa Logo_With Text_Marpa Only_RGB.jpg" descr="Marpa Logo_With Text_Marpa Only_RGB.jpg"/>
        <xdr:cNvPicPr>
          <a:picLocks noChangeAspect="1"/>
        </xdr:cNvPicPr>
      </xdr:nvPicPr>
      <xdr:blipFill>
        <a:blip r:embed="rId1">
          <a:extLst/>
        </a:blip>
        <a:stretch>
          <a:fillRect/>
        </a:stretch>
      </xdr:blipFill>
      <xdr:spPr>
        <a:xfrm>
          <a:off x="5723361" y="-1"/>
          <a:ext cx="785389" cy="774703"/>
        </a:xfrm>
        <a:prstGeom prst="rect">
          <a:avLst/>
        </a:prstGeom>
        <a:ln w="12700" cap="flat">
          <a:noFill/>
          <a:miter lim="400000"/>
        </a:ln>
        <a:effectLst/>
      </xdr:spPr>
    </xdr:pic>
    <xdr:clientData/>
  </xdr:twoCellAnchor>
</xdr:wsDr>
</file>

<file path=xl/drawings/drawing3.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3</xdr:col>
      <xdr:colOff>700671</xdr:colOff>
      <xdr:row>0</xdr:row>
      <xdr:rowOff>0</xdr:rowOff>
    </xdr:from>
    <xdr:to>
      <xdr:col>4</xdr:col>
      <xdr:colOff>762159</xdr:colOff>
      <xdr:row>3</xdr:row>
      <xdr:rowOff>139701</xdr:rowOff>
    </xdr:to>
    <xdr:pic>
      <xdr:nvPicPr>
        <xdr:cNvPr id="20" name="Marpa Logo_With Text_Marpa Only_RGB.jpg" descr="Marpa Logo_With Text_Marpa Only_RGB.jpg"/>
        <xdr:cNvPicPr>
          <a:picLocks noChangeAspect="1"/>
        </xdr:cNvPicPr>
      </xdr:nvPicPr>
      <xdr:blipFill>
        <a:blip r:embed="rId1">
          <a:extLst/>
        </a:blip>
        <a:stretch>
          <a:fillRect/>
        </a:stretch>
      </xdr:blipFill>
      <xdr:spPr>
        <a:xfrm>
          <a:off x="4790071" y="-88902"/>
          <a:ext cx="785389" cy="774702"/>
        </a:xfrm>
        <a:prstGeom prst="rect">
          <a:avLst/>
        </a:prstGeom>
        <a:ln w="12700" cap="flat">
          <a:noFill/>
          <a:miter lim="400000"/>
        </a:ln>
        <a:effectLst/>
      </xdr:spPr>
    </xdr:pic>
    <xdr:clientData/>
  </xdr:twoCellAnchor>
</xdr:wsDr>
</file>

<file path=xl/drawings/drawing4.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3</xdr:col>
      <xdr:colOff>702402</xdr:colOff>
      <xdr:row>0</xdr:row>
      <xdr:rowOff>0</xdr:rowOff>
    </xdr:from>
    <xdr:to>
      <xdr:col>4</xdr:col>
      <xdr:colOff>763890</xdr:colOff>
      <xdr:row>3</xdr:row>
      <xdr:rowOff>139701</xdr:rowOff>
    </xdr:to>
    <xdr:pic>
      <xdr:nvPicPr>
        <xdr:cNvPr id="22" name="Marpa Logo_With Text_Marpa Only_RGB.jpg" descr="Marpa Logo_With Text_Marpa Only_RGB.jpg"/>
        <xdr:cNvPicPr>
          <a:picLocks noChangeAspect="1"/>
        </xdr:cNvPicPr>
      </xdr:nvPicPr>
      <xdr:blipFill>
        <a:blip r:embed="rId1">
          <a:extLst/>
        </a:blip>
        <a:stretch>
          <a:fillRect/>
        </a:stretch>
      </xdr:blipFill>
      <xdr:spPr>
        <a:xfrm>
          <a:off x="5007702" y="-88902"/>
          <a:ext cx="785389" cy="774702"/>
        </a:xfrm>
        <a:prstGeom prst="rect">
          <a:avLst/>
        </a:prstGeom>
        <a:ln w="12700" cap="flat">
          <a:noFill/>
          <a:miter lim="400000"/>
        </a:ln>
        <a:effectLst/>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_rels/sheet3.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vmlDrawing" Target="../drawings/vmlDrawing2.vml"/><Relationship Id="rId3" Type="http://schemas.openxmlformats.org/officeDocument/2006/relationships/comments" Target="../comments2.xml"/></Relationships>

</file>

<file path=xl/worksheets/_rels/sheet4.xml.rels><?xml version="1.0" encoding="UTF-8"?>
<Relationships xmlns="http://schemas.openxmlformats.org/package/2006/relationships"><Relationship Id="rId1" Type="http://schemas.openxmlformats.org/officeDocument/2006/relationships/drawing" Target="../drawings/drawing3.xml"/></Relationships>

</file>

<file path=xl/worksheets/_rels/sheet5.xml.rels><?xml version="1.0" encoding="UTF-8"?>
<Relationships xmlns="http://schemas.openxmlformats.org/package/2006/relationships"><Relationship Id="rId1" Type="http://schemas.openxmlformats.org/officeDocument/2006/relationships/drawing" Target="../drawings/drawing4.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28"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193</v>
      </c>
      <c r="C11" s="3"/>
      <c r="D11" s="3"/>
    </row>
    <row r="12">
      <c r="B12" s="4"/>
      <c r="C12" t="s" s="4">
        <v>5</v>
      </c>
      <c r="D12" t="s" s="5">
        <v>193</v>
      </c>
    </row>
    <row r="13">
      <c r="B13" t="s" s="3">
        <v>252</v>
      </c>
      <c r="C13" s="3"/>
      <c r="D13" s="3"/>
    </row>
    <row r="14">
      <c r="B14" s="4"/>
      <c r="C14" t="s" s="4">
        <v>5</v>
      </c>
      <c r="D14" t="s" s="5">
        <v>252</v>
      </c>
    </row>
    <row r="15">
      <c r="B15" t="s" s="3">
        <v>199</v>
      </c>
      <c r="C15" s="3"/>
      <c r="D15" s="3"/>
    </row>
    <row r="16">
      <c r="B16" s="4"/>
      <c r="C16" t="s" s="4">
        <v>5</v>
      </c>
      <c r="D16" t="s" s="5">
        <v>199</v>
      </c>
    </row>
  </sheetData>
  <mergeCells count="1">
    <mergeCell ref="B3:D3"/>
  </mergeCells>
  <hyperlinks>
    <hyperlink ref="D10" location="'BUDGET'!R1C1" tooltip="" display="BUDGET"/>
    <hyperlink ref="D12" location="'VE'!R1C2" tooltip="" display="VE"/>
    <hyperlink ref="D14" location="'SERVICES'!R1C1" tooltip="" display="SERVICES"/>
    <hyperlink ref="D16" location="'NOTES'!R1C1" tooltip="" display="NOTES"/>
  </hyperlinks>
</worksheet>
</file>

<file path=xl/worksheets/sheet2.xml><?xml version="1.0" encoding="utf-8"?>
<worksheet xmlns:r="http://schemas.openxmlformats.org/officeDocument/2006/relationships" xmlns="http://schemas.openxmlformats.org/spreadsheetml/2006/main">
  <dimension ref="A1:O227"/>
  <sheetViews>
    <sheetView workbookViewId="0" showGridLines="0" defaultGridColor="1"/>
  </sheetViews>
  <sheetFormatPr defaultColWidth="10.8333" defaultRowHeight="11.05" customHeight="1" outlineLevelRow="0" outlineLevelCol="0"/>
  <cols>
    <col min="1" max="1" width="46.3516" style="6" customWidth="1"/>
    <col min="2" max="3" width="5" style="6" customWidth="1"/>
    <col min="4" max="5" width="10.8516" style="6" customWidth="1"/>
    <col min="6" max="15" hidden="1" width="10.8333" style="6" customWidth="1"/>
    <col min="16" max="16384" width="10.8516" style="6" customWidth="1"/>
  </cols>
  <sheetData>
    <row r="1" ht="18" customHeight="1">
      <c r="A1" t="s" s="7">
        <v>6</v>
      </c>
      <c r="B1" s="8"/>
      <c r="C1" s="9"/>
      <c r="D1" s="10"/>
      <c r="E1" s="10"/>
      <c r="F1" s="10"/>
      <c r="G1" s="10"/>
      <c r="H1" s="9"/>
      <c r="I1" s="9"/>
      <c r="J1" s="9"/>
      <c r="K1" s="9"/>
      <c r="L1" s="10"/>
      <c r="M1" s="10"/>
      <c r="N1" s="10"/>
      <c r="O1" s="10"/>
    </row>
    <row r="2" ht="18" customHeight="1">
      <c r="A2" t="s" s="11">
        <v>7</v>
      </c>
      <c r="B2" s="8"/>
      <c r="C2" s="9"/>
      <c r="D2" s="10"/>
      <c r="E2" s="10"/>
      <c r="F2" s="10"/>
      <c r="G2" s="10"/>
      <c r="H2" s="9"/>
      <c r="I2" s="9"/>
      <c r="J2" s="9"/>
      <c r="K2" s="9"/>
      <c r="L2" s="10"/>
      <c r="M2" s="10"/>
      <c r="N2" s="10"/>
      <c r="O2" s="10"/>
    </row>
    <row r="3" ht="14" customHeight="1">
      <c r="A3" t="s" s="11">
        <v>8</v>
      </c>
      <c r="B3" s="8"/>
      <c r="C3" s="9"/>
      <c r="D3" s="10"/>
      <c r="E3" s="10"/>
      <c r="F3" s="10"/>
      <c r="G3" s="10"/>
      <c r="H3" s="9"/>
      <c r="I3" s="9"/>
      <c r="J3" s="9"/>
      <c r="K3" s="9"/>
      <c r="L3" s="10"/>
      <c r="M3" s="10"/>
      <c r="N3" s="10"/>
      <c r="O3" s="10"/>
    </row>
    <row r="4" ht="14" customHeight="1">
      <c r="A4" s="12"/>
      <c r="B4" s="13"/>
      <c r="C4" s="13"/>
      <c r="D4" s="13"/>
      <c r="E4" s="13"/>
      <c r="F4" s="13"/>
      <c r="G4" s="13"/>
      <c r="H4" s="13"/>
      <c r="I4" s="14"/>
      <c r="J4" s="13"/>
      <c r="K4" s="13"/>
      <c r="L4" s="13"/>
      <c r="M4" s="13"/>
      <c r="N4" s="13"/>
      <c r="O4" s="13"/>
    </row>
    <row r="5" ht="14" customHeight="1">
      <c r="A5" t="s" s="15">
        <v>9</v>
      </c>
      <c r="B5" t="s" s="16">
        <v>10</v>
      </c>
      <c r="C5" t="s" s="16">
        <v>11</v>
      </c>
      <c r="D5" t="s" s="16">
        <v>12</v>
      </c>
      <c r="E5" t="s" s="16">
        <v>13</v>
      </c>
      <c r="F5" t="s" s="16">
        <v>14</v>
      </c>
      <c r="G5" s="13"/>
      <c r="H5" t="s" s="16">
        <v>15</v>
      </c>
      <c r="I5" s="14"/>
      <c r="J5" t="s" s="16">
        <v>15</v>
      </c>
      <c r="K5" t="s" s="16">
        <v>16</v>
      </c>
      <c r="L5" s="13"/>
      <c r="M5" s="13"/>
      <c r="N5" s="13"/>
      <c r="O5" s="13"/>
    </row>
    <row r="6" ht="14" customHeight="1">
      <c r="A6" s="17"/>
      <c r="B6" s="18"/>
      <c r="C6" s="19"/>
      <c r="D6" s="20"/>
      <c r="E6" s="20"/>
      <c r="F6" s="20"/>
      <c r="G6" s="20"/>
      <c r="H6" s="21"/>
      <c r="I6" s="21"/>
      <c r="J6" s="21"/>
      <c r="K6" s="21"/>
      <c r="L6" s="20"/>
      <c r="M6" s="20"/>
      <c r="N6" s="20"/>
      <c r="O6" s="20"/>
    </row>
    <row r="7" ht="14" customHeight="1">
      <c r="A7" t="s" s="22">
        <v>17</v>
      </c>
      <c r="B7" s="23"/>
      <c r="C7" s="24"/>
      <c r="D7" s="25"/>
      <c r="E7" s="25" cm="1">
        <f t="array" ref="E7">SUM(E8:E11)</f>
        <v>8500</v>
      </c>
      <c r="F7" s="26">
        <v>46069</v>
      </c>
      <c r="G7" s="27"/>
      <c r="H7" s="28"/>
      <c r="I7" s="29"/>
      <c r="J7" s="30"/>
      <c r="K7" s="30"/>
      <c r="L7" s="31"/>
      <c r="M7" s="31"/>
      <c r="N7" s="31"/>
      <c r="O7" s="31"/>
    </row>
    <row r="8" ht="14" customHeight="1">
      <c r="A8" t="s" s="32">
        <v>18</v>
      </c>
      <c r="B8" s="33">
        <v>1</v>
      </c>
      <c r="C8" t="s" s="34">
        <v>19</v>
      </c>
      <c r="D8" s="35">
        <v>1500</v>
      </c>
      <c r="E8" s="35" cm="1">
        <f t="array" ref="E8">D8*B8</f>
        <v>1500</v>
      </c>
      <c r="F8" s="36"/>
      <c r="G8" s="37"/>
      <c r="H8" t="s" s="38">
        <v>20</v>
      </c>
      <c r="I8" s="39"/>
      <c r="J8" t="s" s="38">
        <v>21</v>
      </c>
      <c r="K8" t="s" s="38">
        <v>22</v>
      </c>
      <c r="L8" s="36"/>
      <c r="M8" s="36"/>
      <c r="N8" s="36"/>
      <c r="O8" s="36"/>
    </row>
    <row r="9" ht="14" customHeight="1">
      <c r="A9" t="s" s="40">
        <v>23</v>
      </c>
      <c r="B9" s="41">
        <v>1</v>
      </c>
      <c r="C9" t="s" s="42">
        <v>19</v>
      </c>
      <c r="D9" s="43">
        <v>2000</v>
      </c>
      <c r="E9" s="44" cm="1">
        <f t="array" ref="E9">D9*B9</f>
        <v>2000</v>
      </c>
      <c r="F9" s="45"/>
      <c r="G9" s="46"/>
      <c r="H9" t="s" s="47">
        <v>20</v>
      </c>
      <c r="I9" s="39"/>
      <c r="J9" t="s" s="47">
        <v>21</v>
      </c>
      <c r="K9" t="s" s="47">
        <v>22</v>
      </c>
      <c r="L9" s="45"/>
      <c r="M9" s="45"/>
      <c r="N9" s="45"/>
      <c r="O9" s="45"/>
    </row>
    <row r="10" ht="14" customHeight="1">
      <c r="A10" t="s" s="40">
        <v>24</v>
      </c>
      <c r="B10" s="41">
        <v>1</v>
      </c>
      <c r="C10" t="s" s="42">
        <v>19</v>
      </c>
      <c r="D10" s="44">
        <v>5000</v>
      </c>
      <c r="E10" s="44" cm="1">
        <f t="array" ref="E10">D10*B10</f>
        <v>5000</v>
      </c>
      <c r="F10" s="45"/>
      <c r="G10" s="46"/>
      <c r="H10" t="s" s="47">
        <v>20</v>
      </c>
      <c r="I10" s="39"/>
      <c r="J10" t="s" s="47">
        <v>21</v>
      </c>
      <c r="K10" t="s" s="47">
        <v>22</v>
      </c>
      <c r="L10" s="45"/>
      <c r="M10" s="45"/>
      <c r="N10" s="45"/>
      <c r="O10" s="45"/>
    </row>
    <row r="11" ht="14" customHeight="1">
      <c r="A11" s="48"/>
      <c r="B11" s="41"/>
      <c r="C11" s="49"/>
      <c r="D11" s="44"/>
      <c r="E11" s="44"/>
      <c r="F11" s="45"/>
      <c r="G11" s="46"/>
      <c r="H11" s="50"/>
      <c r="I11" s="39"/>
      <c r="J11" s="50"/>
      <c r="K11" s="50"/>
      <c r="L11" s="45"/>
      <c r="M11" s="45"/>
      <c r="N11" s="45"/>
      <c r="O11" s="45"/>
    </row>
    <row r="12" ht="14" customHeight="1">
      <c r="A12" t="s" s="51">
        <v>25</v>
      </c>
      <c r="B12" s="52"/>
      <c r="C12" s="53"/>
      <c r="D12" s="54"/>
      <c r="E12" s="54" cm="1">
        <f t="array" ref="E12">SUM(E13:E16)</f>
        <v>20300</v>
      </c>
      <c r="F12" s="55">
        <v>46069</v>
      </c>
      <c r="G12" s="56"/>
      <c r="H12" s="57"/>
      <c r="I12" s="39"/>
      <c r="J12" s="58"/>
      <c r="K12" s="58"/>
      <c r="L12" s="59"/>
      <c r="M12" s="59"/>
      <c r="N12" s="59"/>
      <c r="O12" s="59"/>
    </row>
    <row r="13" ht="14" customHeight="1">
      <c r="A13" t="s" s="32">
        <v>26</v>
      </c>
      <c r="B13" s="33">
        <v>9</v>
      </c>
      <c r="C13" t="s" s="34">
        <v>19</v>
      </c>
      <c r="D13" s="35" cm="1">
        <f t="array" ref="D13">416.67*1.2</f>
        <v>500.004</v>
      </c>
      <c r="E13" s="35">
        <v>4500</v>
      </c>
      <c r="F13" s="36"/>
      <c r="G13" s="37"/>
      <c r="H13" t="s" s="38">
        <v>20</v>
      </c>
      <c r="I13" s="39"/>
      <c r="J13" t="s" s="38">
        <v>21</v>
      </c>
      <c r="K13" t="s" s="38">
        <v>22</v>
      </c>
      <c r="L13" s="36"/>
      <c r="M13" s="36"/>
      <c r="N13" s="36"/>
      <c r="O13" s="36"/>
    </row>
    <row r="14" ht="14" customHeight="1">
      <c r="A14" t="s" s="40">
        <v>27</v>
      </c>
      <c r="B14" s="41">
        <v>135</v>
      </c>
      <c r="C14" t="s" s="42">
        <v>28</v>
      </c>
      <c r="D14" s="44">
        <v>80</v>
      </c>
      <c r="E14" s="44" cm="1">
        <f t="array" ref="E14">D14*B14</f>
        <v>10800</v>
      </c>
      <c r="F14" s="45"/>
      <c r="G14" s="46"/>
      <c r="H14" s="50"/>
      <c r="I14" s="39"/>
      <c r="J14" s="50"/>
      <c r="K14" s="50"/>
      <c r="L14" s="45"/>
      <c r="M14" s="45"/>
      <c r="N14" s="45"/>
      <c r="O14" s="45"/>
    </row>
    <row r="15" ht="14" customHeight="1">
      <c r="A15" t="s" s="40">
        <v>29</v>
      </c>
      <c r="B15" s="41">
        <v>1</v>
      </c>
      <c r="C15" t="s" s="42">
        <v>19</v>
      </c>
      <c r="D15" s="44">
        <v>5000</v>
      </c>
      <c r="E15" s="44" cm="1">
        <f t="array" ref="E15">D15*B15</f>
        <v>5000</v>
      </c>
      <c r="F15" s="45"/>
      <c r="G15" s="46"/>
      <c r="H15" t="s" s="47">
        <v>20</v>
      </c>
      <c r="I15" s="39"/>
      <c r="J15" t="s" s="47">
        <v>21</v>
      </c>
      <c r="K15" t="s" s="47">
        <v>22</v>
      </c>
      <c r="L15" s="45"/>
      <c r="M15" s="45"/>
      <c r="N15" s="45"/>
      <c r="O15" s="45"/>
    </row>
    <row r="16" ht="14" customHeight="1">
      <c r="A16" s="48"/>
      <c r="B16" s="49"/>
      <c r="C16" s="49"/>
      <c r="D16" s="60"/>
      <c r="E16" s="44"/>
      <c r="F16" s="61"/>
      <c r="G16" s="62"/>
      <c r="H16" s="39"/>
      <c r="I16" s="39"/>
      <c r="J16" s="39"/>
      <c r="K16" s="39"/>
      <c r="L16" s="61"/>
      <c r="M16" s="61"/>
      <c r="N16" s="61"/>
      <c r="O16" s="61"/>
    </row>
    <row r="17" ht="14" customHeight="1">
      <c r="A17" t="s" s="51">
        <v>30</v>
      </c>
      <c r="B17" s="52"/>
      <c r="C17" s="53"/>
      <c r="D17" s="54"/>
      <c r="E17" s="54" cm="1">
        <f t="array" ref="E17">SUM(E18:E21)</f>
        <v>55368</v>
      </c>
      <c r="F17" s="61"/>
      <c r="G17" s="63"/>
      <c r="H17" s="50"/>
      <c r="I17" s="64"/>
      <c r="J17" s="64"/>
      <c r="K17" s="64"/>
      <c r="L17" s="61"/>
      <c r="M17" s="61"/>
      <c r="N17" s="61"/>
      <c r="O17" s="61"/>
    </row>
    <row r="18" ht="14" customHeight="1">
      <c r="A18" t="s" s="32">
        <v>31</v>
      </c>
      <c r="B18" s="33">
        <v>52</v>
      </c>
      <c r="C18" t="s" s="34">
        <v>28</v>
      </c>
      <c r="D18" s="35" cm="1">
        <f t="array" ref="D18">340*1.1</f>
        <v>374</v>
      </c>
      <c r="E18" s="35" cm="1">
        <f t="array" ref="E18">B18*D18</f>
        <v>19448</v>
      </c>
      <c r="F18" s="61"/>
      <c r="G18" s="63"/>
      <c r="H18" s="50"/>
      <c r="I18" s="64"/>
      <c r="J18" s="64"/>
      <c r="K18" s="64"/>
      <c r="L18" s="61"/>
      <c r="M18" s="61"/>
      <c r="N18" s="61"/>
      <c r="O18" s="61"/>
    </row>
    <row r="19" ht="14" customHeight="1">
      <c r="A19" t="s" s="40">
        <v>32</v>
      </c>
      <c r="B19" s="41">
        <v>4</v>
      </c>
      <c r="C19" t="s" s="42">
        <v>19</v>
      </c>
      <c r="D19" s="44">
        <v>605</v>
      </c>
      <c r="E19" s="44" cm="1">
        <f t="array" ref="E19">B19*D19</f>
        <v>2420</v>
      </c>
      <c r="F19" s="61"/>
      <c r="G19" s="63"/>
      <c r="H19" s="50"/>
      <c r="I19" s="64"/>
      <c r="J19" s="64"/>
      <c r="K19" s="64"/>
      <c r="L19" s="61"/>
      <c r="M19" s="61"/>
      <c r="N19" s="61"/>
      <c r="O19" s="61"/>
    </row>
    <row r="20" ht="14" customHeight="1">
      <c r="A20" t="s" s="40">
        <v>33</v>
      </c>
      <c r="B20" s="41">
        <v>45</v>
      </c>
      <c r="C20" t="s" s="42">
        <v>28</v>
      </c>
      <c r="D20" s="44">
        <v>300</v>
      </c>
      <c r="E20" s="44" cm="1">
        <f t="array" ref="E20">B20*D20</f>
        <v>13500</v>
      </c>
      <c r="F20" s="61"/>
      <c r="G20" s="63"/>
      <c r="H20" s="50"/>
      <c r="I20" s="64"/>
      <c r="J20" s="64"/>
      <c r="K20" s="64"/>
      <c r="L20" s="61"/>
      <c r="M20" s="61"/>
      <c r="N20" s="61"/>
      <c r="O20" s="61"/>
    </row>
    <row r="21" ht="14" customHeight="1">
      <c r="A21" t="s" s="65">
        <v>34</v>
      </c>
      <c r="B21" s="66">
        <v>160</v>
      </c>
      <c r="C21" t="s" s="67">
        <v>35</v>
      </c>
      <c r="D21" s="68">
        <v>125</v>
      </c>
      <c r="E21" s="68" cm="1">
        <f t="array" ref="E21">B21*D21</f>
        <v>20000</v>
      </c>
      <c r="F21" s="61"/>
      <c r="G21" s="63"/>
      <c r="H21" s="50"/>
      <c r="I21" s="64"/>
      <c r="J21" s="64"/>
      <c r="K21" s="64"/>
      <c r="L21" s="61"/>
      <c r="M21" s="61"/>
      <c r="N21" s="61"/>
      <c r="O21" s="61"/>
    </row>
    <row r="22" ht="14" customHeight="1">
      <c r="A22" t="s" s="69">
        <v>36</v>
      </c>
      <c r="B22" s="70"/>
      <c r="C22" s="71"/>
      <c r="D22" s="72"/>
      <c r="E22" s="72"/>
      <c r="F22" s="61"/>
      <c r="G22" s="62"/>
      <c r="H22" s="39"/>
      <c r="I22" s="39"/>
      <c r="J22" s="39"/>
      <c r="K22" s="39"/>
      <c r="L22" s="61"/>
      <c r="M22" s="61"/>
      <c r="N22" s="61"/>
      <c r="O22" s="61"/>
    </row>
    <row r="23" ht="14" customHeight="1">
      <c r="A23" t="s" s="73">
        <v>37</v>
      </c>
      <c r="B23" s="74">
        <v>1</v>
      </c>
      <c r="C23" t="s" s="75">
        <v>19</v>
      </c>
      <c r="D23" s="76" cm="1">
        <f t="array" ref="D23">-E20</f>
        <v>-13500</v>
      </c>
      <c r="E23" s="76" cm="1">
        <f t="array" ref="E23">B23*D23</f>
        <v>-13500</v>
      </c>
      <c r="F23" s="61"/>
      <c r="G23" s="62"/>
      <c r="H23" s="39"/>
      <c r="I23" s="39"/>
      <c r="J23" s="39"/>
      <c r="K23" s="39"/>
      <c r="L23" s="61"/>
      <c r="M23" s="61"/>
      <c r="N23" s="61"/>
      <c r="O23" s="61"/>
    </row>
    <row r="24" ht="14" customHeight="1">
      <c r="A24" s="48"/>
      <c r="B24" s="49"/>
      <c r="C24" s="49"/>
      <c r="D24" s="60"/>
      <c r="E24" s="60"/>
      <c r="F24" s="61"/>
      <c r="G24" s="62"/>
      <c r="H24" s="39"/>
      <c r="I24" s="39"/>
      <c r="J24" s="39"/>
      <c r="K24" s="39"/>
      <c r="L24" s="61"/>
      <c r="M24" s="61"/>
      <c r="N24" s="61"/>
      <c r="O24" s="61"/>
    </row>
    <row r="25" ht="14" customHeight="1">
      <c r="A25" t="s" s="51">
        <v>38</v>
      </c>
      <c r="B25" s="52"/>
      <c r="C25" s="53"/>
      <c r="D25" s="54"/>
      <c r="E25" s="54" cm="1">
        <f t="array" ref="E25">SUM(E26:E27)</f>
        <v>8500</v>
      </c>
      <c r="F25" s="55">
        <v>46069</v>
      </c>
      <c r="G25" s="56"/>
      <c r="H25" s="57"/>
      <c r="I25" s="39"/>
      <c r="J25" s="58"/>
      <c r="K25" s="58"/>
      <c r="L25" s="59"/>
      <c r="M25" s="59"/>
      <c r="N25" s="59"/>
      <c r="O25" s="59"/>
    </row>
    <row r="26" ht="14" customHeight="1">
      <c r="A26" t="s" s="32">
        <v>39</v>
      </c>
      <c r="B26" s="33">
        <v>1</v>
      </c>
      <c r="C26" t="s" s="34">
        <v>19</v>
      </c>
      <c r="D26" s="35">
        <v>8500</v>
      </c>
      <c r="E26" s="35" cm="1">
        <f t="array" ref="E26">D26*B26</f>
        <v>8500</v>
      </c>
      <c r="F26" s="36"/>
      <c r="G26" s="37"/>
      <c r="H26" t="s" s="38">
        <v>20</v>
      </c>
      <c r="I26" s="39"/>
      <c r="J26" t="s" s="38">
        <v>21</v>
      </c>
      <c r="K26" t="s" s="38">
        <v>22</v>
      </c>
      <c r="L26" s="36"/>
      <c r="M26" s="36"/>
      <c r="N26" s="36"/>
      <c r="O26" s="36"/>
    </row>
    <row r="27" ht="14" customHeight="1">
      <c r="A27" s="48"/>
      <c r="B27" s="49"/>
      <c r="C27" s="49"/>
      <c r="D27" s="60"/>
      <c r="E27" s="60"/>
      <c r="F27" s="61"/>
      <c r="G27" s="62"/>
      <c r="H27" s="39"/>
      <c r="I27" s="39"/>
      <c r="J27" s="39"/>
      <c r="K27" s="39"/>
      <c r="L27" s="61"/>
      <c r="M27" s="61"/>
      <c r="N27" s="61"/>
      <c r="O27" s="61"/>
    </row>
    <row r="28" ht="14" customHeight="1">
      <c r="A28" t="s" s="51">
        <v>40</v>
      </c>
      <c r="B28" s="52"/>
      <c r="C28" s="53"/>
      <c r="D28" s="54"/>
      <c r="E28" s="54" cm="1">
        <f t="array" ref="E28">SUM(E29:E31)</f>
        <v>20560</v>
      </c>
      <c r="F28" s="55">
        <v>46069</v>
      </c>
      <c r="G28" s="56"/>
      <c r="H28" s="57"/>
      <c r="I28" s="39"/>
      <c r="J28" s="58"/>
      <c r="K28" s="58"/>
      <c r="L28" s="59"/>
      <c r="M28" s="59"/>
      <c r="N28" s="59"/>
      <c r="O28" s="59"/>
    </row>
    <row r="29" ht="14" customHeight="1">
      <c r="A29" t="s" s="77">
        <v>41</v>
      </c>
      <c r="B29" s="78">
        <v>30</v>
      </c>
      <c r="C29" t="s" s="79">
        <v>42</v>
      </c>
      <c r="D29" s="80">
        <v>650</v>
      </c>
      <c r="E29" s="80" cm="1">
        <f t="array" ref="E29">D29*B29</f>
        <v>19500</v>
      </c>
      <c r="F29" s="81"/>
      <c r="G29" s="82"/>
      <c r="H29" t="s" s="38">
        <v>20</v>
      </c>
      <c r="I29" s="39"/>
      <c r="J29" t="s" s="38">
        <v>21</v>
      </c>
      <c r="K29" t="s" s="38">
        <v>22</v>
      </c>
      <c r="L29" s="83"/>
      <c r="M29" s="81"/>
      <c r="N29" s="81"/>
      <c r="O29" s="81"/>
    </row>
    <row r="30" ht="14" customHeight="1">
      <c r="A30" t="s" s="84">
        <v>43</v>
      </c>
      <c r="B30" s="85" cm="1">
        <f t="array" ref="B30">B29/15</f>
        <v>2</v>
      </c>
      <c r="C30" t="s" s="86">
        <v>19</v>
      </c>
      <c r="D30" s="87">
        <v>530</v>
      </c>
      <c r="E30" s="87" cm="1">
        <f t="array" ref="E30">D30*B30</f>
        <v>1060</v>
      </c>
      <c r="F30" s="88"/>
      <c r="G30" s="89"/>
      <c r="H30" t="s" s="47">
        <v>20</v>
      </c>
      <c r="I30" s="39"/>
      <c r="J30" t="s" s="47">
        <v>21</v>
      </c>
      <c r="K30" t="s" s="47">
        <v>22</v>
      </c>
      <c r="L30" s="88"/>
      <c r="M30" s="88"/>
      <c r="N30" s="88"/>
      <c r="O30" s="88"/>
    </row>
    <row r="31" ht="14" customHeight="1">
      <c r="A31" s="90"/>
      <c r="B31" s="91"/>
      <c r="C31" s="92"/>
      <c r="D31" s="93"/>
      <c r="E31" s="94"/>
      <c r="F31" s="95"/>
      <c r="G31" s="96"/>
      <c r="H31" s="50"/>
      <c r="I31" s="64"/>
      <c r="J31" s="64"/>
      <c r="K31" s="64"/>
      <c r="L31" s="95"/>
      <c r="M31" s="95"/>
      <c r="N31" s="95"/>
      <c r="O31" s="95"/>
    </row>
    <row r="32" ht="14" customHeight="1">
      <c r="A32" t="s" s="51">
        <v>44</v>
      </c>
      <c r="B32" s="52"/>
      <c r="C32" s="24"/>
      <c r="D32" s="25"/>
      <c r="E32" s="54" cm="1">
        <f t="array" ref="E32">SUM(E33:E52)</f>
        <v>309400</v>
      </c>
      <c r="F32" s="55">
        <v>46069</v>
      </c>
      <c r="G32" s="46"/>
      <c r="H32" s="50"/>
      <c r="I32" s="39"/>
      <c r="J32" s="39"/>
      <c r="K32" s="39"/>
      <c r="L32" s="97"/>
      <c r="M32" s="59"/>
      <c r="N32" s="59"/>
      <c r="O32" s="59"/>
    </row>
    <row r="33" ht="14" customHeight="1">
      <c r="A33" t="s" s="98">
        <v>45</v>
      </c>
      <c r="B33" s="33">
        <v>1</v>
      </c>
      <c r="C33" t="s" s="34">
        <v>19</v>
      </c>
      <c r="D33" s="35">
        <v>225000</v>
      </c>
      <c r="E33" s="35" cm="1">
        <f t="array" ref="E33">B33*D33</f>
        <v>225000</v>
      </c>
      <c r="F33" s="36"/>
      <c r="G33" s="46"/>
      <c r="H33" s="50"/>
      <c r="I33" s="39"/>
      <c r="J33" s="39"/>
      <c r="K33" s="39"/>
      <c r="L33" s="99"/>
      <c r="M33" s="36"/>
      <c r="N33" s="36"/>
      <c r="O33" s="36"/>
    </row>
    <row r="34" ht="14" customHeight="1">
      <c r="A34" t="s" s="40">
        <v>46</v>
      </c>
      <c r="B34" s="41">
        <v>1</v>
      </c>
      <c r="C34" t="s" s="100">
        <v>19</v>
      </c>
      <c r="D34" s="101" cm="1">
        <f t="array" ref="D34">SUM(E33)*0.04</f>
        <v>9000</v>
      </c>
      <c r="E34" s="44" cm="1">
        <f t="array" ref="E34">B34*D34</f>
        <v>9000</v>
      </c>
      <c r="F34" s="45"/>
      <c r="G34" s="46"/>
      <c r="H34" s="50"/>
      <c r="I34" s="39"/>
      <c r="J34" s="39"/>
      <c r="K34" s="39"/>
      <c r="L34" t="s" s="42">
        <v>20</v>
      </c>
      <c r="M34" s="45"/>
      <c r="N34" s="45"/>
      <c r="O34" s="45"/>
    </row>
    <row r="35" ht="14" customHeight="1">
      <c r="A35" t="s" s="102">
        <v>47</v>
      </c>
      <c r="B35" s="91"/>
      <c r="C35" s="92"/>
      <c r="D35" s="93"/>
      <c r="E35" s="103"/>
      <c r="F35" s="45"/>
      <c r="G35" s="46"/>
      <c r="H35" s="50"/>
      <c r="I35" s="39"/>
      <c r="J35" s="39"/>
      <c r="K35" s="39"/>
      <c r="L35" s="61"/>
      <c r="M35" s="45"/>
      <c r="N35" s="45"/>
      <c r="O35" s="45"/>
    </row>
    <row r="36" ht="14" customHeight="1">
      <c r="A36" t="s" s="40">
        <v>48</v>
      </c>
      <c r="B36" s="41">
        <v>1</v>
      </c>
      <c r="C36" t="s" s="104">
        <v>19</v>
      </c>
      <c r="D36" s="105">
        <v>500</v>
      </c>
      <c r="E36" s="44" cm="1">
        <f t="array" ref="E36">B36*D36</f>
        <v>500</v>
      </c>
      <c r="F36" s="45"/>
      <c r="G36" s="46"/>
      <c r="H36" s="50"/>
      <c r="I36" s="39"/>
      <c r="J36" s="39"/>
      <c r="K36" s="39"/>
      <c r="L36" t="s" s="42">
        <v>20</v>
      </c>
      <c r="M36" s="45"/>
      <c r="N36" s="45"/>
      <c r="O36" s="45"/>
    </row>
    <row r="37" ht="14" customHeight="1">
      <c r="A37" t="s" s="40">
        <v>49</v>
      </c>
      <c r="B37" s="41">
        <v>1</v>
      </c>
      <c r="C37" t="s" s="42">
        <v>19</v>
      </c>
      <c r="D37" s="44">
        <v>25000</v>
      </c>
      <c r="E37" s="44" cm="1">
        <f t="array" ref="E37">B37*D37</f>
        <v>25000</v>
      </c>
      <c r="F37" s="106"/>
      <c r="G37" s="46"/>
      <c r="H37" s="50"/>
      <c r="I37" s="39"/>
      <c r="J37" s="39"/>
      <c r="K37" s="39"/>
      <c r="L37" t="s" s="107">
        <v>20</v>
      </c>
      <c r="M37" s="106"/>
      <c r="N37" s="106"/>
      <c r="O37" s="106"/>
    </row>
    <row r="38" ht="14" customHeight="1">
      <c r="A38" t="s" s="40">
        <v>50</v>
      </c>
      <c r="B38" s="41">
        <v>80</v>
      </c>
      <c r="C38" t="s" s="100">
        <v>28</v>
      </c>
      <c r="D38" s="101">
        <v>35</v>
      </c>
      <c r="E38" s="44" cm="1">
        <f t="array" ref="E38">D38*B38</f>
        <v>2800</v>
      </c>
      <c r="F38" s="45"/>
      <c r="G38" s="46"/>
      <c r="H38" t="s" s="47">
        <v>20</v>
      </c>
      <c r="I38" s="39"/>
      <c r="J38" t="s" s="47">
        <v>21</v>
      </c>
      <c r="K38" t="s" s="47">
        <v>22</v>
      </c>
      <c r="L38" s="45"/>
      <c r="M38" s="45"/>
      <c r="N38" s="45"/>
      <c r="O38" s="45"/>
    </row>
    <row r="39" ht="14" customHeight="1">
      <c r="A39" t="s" s="40">
        <v>51</v>
      </c>
      <c r="B39" s="91">
        <v>1</v>
      </c>
      <c r="C39" t="s" s="108">
        <v>19</v>
      </c>
      <c r="D39" s="93">
        <v>4500</v>
      </c>
      <c r="E39" s="103" cm="1">
        <f t="array" ref="E39">B39*D39</f>
        <v>4500</v>
      </c>
      <c r="F39" s="45"/>
      <c r="G39" s="46"/>
      <c r="H39" s="50"/>
      <c r="I39" s="39"/>
      <c r="J39" s="39"/>
      <c r="K39" s="39"/>
      <c r="L39" t="s" s="42">
        <v>52</v>
      </c>
      <c r="M39" s="106"/>
      <c r="N39" s="106"/>
      <c r="O39" s="106"/>
    </row>
    <row r="40" ht="14" customHeight="1">
      <c r="A40" t="s" s="40">
        <v>53</v>
      </c>
      <c r="B40" s="41">
        <v>80</v>
      </c>
      <c r="C40" t="s" s="104">
        <v>28</v>
      </c>
      <c r="D40" s="105">
        <v>70</v>
      </c>
      <c r="E40" s="44" cm="1">
        <f t="array" ref="E40">D40*B40</f>
        <v>5600</v>
      </c>
      <c r="F40" s="45"/>
      <c r="G40" s="46"/>
      <c r="H40" s="50"/>
      <c r="I40" s="39"/>
      <c r="J40" s="39"/>
      <c r="K40" s="39"/>
      <c r="L40" s="49"/>
      <c r="M40" s="45"/>
      <c r="N40" s="45"/>
      <c r="O40" s="45"/>
    </row>
    <row r="41" ht="14" customHeight="1">
      <c r="A41" t="s" s="40">
        <v>54</v>
      </c>
      <c r="B41" s="41">
        <v>1</v>
      </c>
      <c r="C41" t="s" s="42">
        <v>19</v>
      </c>
      <c r="D41" s="44">
        <v>1800</v>
      </c>
      <c r="E41" s="44" cm="1">
        <f t="array" ref="E41">B41*D41</f>
        <v>1800</v>
      </c>
      <c r="F41" s="45"/>
      <c r="G41" s="46"/>
      <c r="H41" s="50"/>
      <c r="I41" s="39"/>
      <c r="J41" s="39"/>
      <c r="K41" s="39"/>
      <c r="L41" t="s" s="42">
        <v>20</v>
      </c>
      <c r="M41" s="45"/>
      <c r="N41" s="45"/>
      <c r="O41" s="45"/>
    </row>
    <row r="42" ht="14" customHeight="1">
      <c r="A42" t="s" s="40">
        <v>55</v>
      </c>
      <c r="B42" s="41">
        <v>1</v>
      </c>
      <c r="C42" t="s" s="100">
        <v>19</v>
      </c>
      <c r="D42" s="101">
        <v>12000</v>
      </c>
      <c r="E42" s="44" cm="1">
        <f t="array" ref="E42">B42*D42</f>
        <v>12000</v>
      </c>
      <c r="F42" s="45"/>
      <c r="G42" s="46"/>
      <c r="H42" s="50"/>
      <c r="I42" s="39"/>
      <c r="J42" s="39"/>
      <c r="K42" s="39"/>
      <c r="L42" s="49"/>
      <c r="M42" s="45"/>
      <c r="N42" s="45"/>
      <c r="O42" s="45"/>
    </row>
    <row r="43" ht="14" customHeight="1">
      <c r="A43" t="s" s="102">
        <v>56</v>
      </c>
      <c r="B43" s="91"/>
      <c r="C43" s="92"/>
      <c r="D43" s="93"/>
      <c r="E43" s="103"/>
      <c r="F43" s="45"/>
      <c r="G43" s="46"/>
      <c r="H43" s="50"/>
      <c r="I43" s="39"/>
      <c r="J43" s="39"/>
      <c r="K43" s="39"/>
      <c r="L43" s="61"/>
      <c r="M43" s="45"/>
      <c r="N43" s="45"/>
      <c r="O43" s="45"/>
    </row>
    <row r="44" ht="14" customHeight="1">
      <c r="A44" t="s" s="40">
        <v>57</v>
      </c>
      <c r="B44" s="91">
        <v>1</v>
      </c>
      <c r="C44" t="s" s="108">
        <v>19</v>
      </c>
      <c r="D44" s="93">
        <v>3000</v>
      </c>
      <c r="E44" s="103" cm="1">
        <f t="array" ref="E44">B44*D44</f>
        <v>3000</v>
      </c>
      <c r="F44" s="106"/>
      <c r="G44" s="46"/>
      <c r="H44" s="50"/>
      <c r="I44" s="39"/>
      <c r="J44" s="39"/>
      <c r="K44" s="39"/>
      <c r="L44" t="s" s="107">
        <v>20</v>
      </c>
      <c r="M44" s="106"/>
      <c r="N44" s="106"/>
      <c r="O44" s="106"/>
    </row>
    <row r="45" ht="14" customHeight="1">
      <c r="A45" t="s" s="40">
        <v>58</v>
      </c>
      <c r="B45" s="91">
        <v>1</v>
      </c>
      <c r="C45" t="s" s="108">
        <v>19</v>
      </c>
      <c r="D45" s="93">
        <v>15600</v>
      </c>
      <c r="E45" s="103" cm="1">
        <f t="array" ref="E45">B45*D45</f>
        <v>15600</v>
      </c>
      <c r="F45" s="45"/>
      <c r="G45" s="46"/>
      <c r="H45" s="50"/>
      <c r="I45" s="39"/>
      <c r="J45" s="39"/>
      <c r="K45" s="39"/>
      <c r="L45" t="s" s="42">
        <v>20</v>
      </c>
      <c r="M45" s="45"/>
      <c r="N45" s="45"/>
      <c r="O45" s="45"/>
    </row>
    <row r="46" ht="14" customHeight="1">
      <c r="A46" t="s" s="40">
        <v>59</v>
      </c>
      <c r="B46" s="91">
        <v>1</v>
      </c>
      <c r="C46" t="s" s="108">
        <v>19</v>
      </c>
      <c r="D46" s="93">
        <v>3600</v>
      </c>
      <c r="E46" s="103" cm="1">
        <f t="array" ref="E46">B46*D46</f>
        <v>3600</v>
      </c>
      <c r="F46" s="45"/>
      <c r="G46" s="46"/>
      <c r="H46" s="50"/>
      <c r="I46" s="39"/>
      <c r="J46" s="39"/>
      <c r="K46" s="39"/>
      <c r="L46" t="s" s="42">
        <v>20</v>
      </c>
      <c r="M46" s="45"/>
      <c r="N46" s="45"/>
      <c r="O46" s="45"/>
    </row>
    <row r="47" ht="14" customHeight="1">
      <c r="A47" t="s" s="40">
        <v>60</v>
      </c>
      <c r="B47" s="91">
        <v>1</v>
      </c>
      <c r="C47" t="s" s="108">
        <v>19</v>
      </c>
      <c r="D47" s="93">
        <v>1000</v>
      </c>
      <c r="E47" s="103" cm="1">
        <f t="array" ref="E47">B47*D47</f>
        <v>1000</v>
      </c>
      <c r="F47" s="45"/>
      <c r="G47" s="46"/>
      <c r="H47" s="50"/>
      <c r="I47" s="39"/>
      <c r="J47" s="39"/>
      <c r="K47" s="39"/>
      <c r="L47" t="s" s="42">
        <v>20</v>
      </c>
      <c r="M47" s="45"/>
      <c r="N47" s="45"/>
      <c r="O47" s="45"/>
    </row>
    <row r="48" ht="14" customHeight="1">
      <c r="A48" t="s" s="102">
        <v>61</v>
      </c>
      <c r="B48" s="91"/>
      <c r="C48" s="92"/>
      <c r="D48" s="93"/>
      <c r="E48" s="103"/>
      <c r="F48" s="45"/>
      <c r="G48" s="46"/>
      <c r="H48" s="50"/>
      <c r="I48" s="39"/>
      <c r="J48" s="39"/>
      <c r="K48" s="39"/>
      <c r="L48" s="49"/>
      <c r="M48" s="45"/>
      <c r="N48" s="45"/>
      <c r="O48" s="45"/>
    </row>
    <row r="49" ht="14" customHeight="1">
      <c r="A49" t="s" s="40">
        <v>62</v>
      </c>
      <c r="B49" s="91"/>
      <c r="C49" s="92"/>
      <c r="D49" s="93"/>
      <c r="E49" s="103"/>
      <c r="F49" s="45"/>
      <c r="G49" s="46"/>
      <c r="H49" s="50"/>
      <c r="I49" s="39"/>
      <c r="J49" s="39"/>
      <c r="K49" s="39"/>
      <c r="L49" s="49"/>
      <c r="M49" s="45"/>
      <c r="N49" s="45"/>
      <c r="O49" s="45"/>
    </row>
    <row r="50" ht="14" customHeight="1">
      <c r="A50" t="s" s="40">
        <v>63</v>
      </c>
      <c r="B50" s="91"/>
      <c r="C50" s="92"/>
      <c r="D50" s="93"/>
      <c r="E50" s="103"/>
      <c r="F50" s="45"/>
      <c r="G50" s="46"/>
      <c r="H50" s="50"/>
      <c r="I50" s="39"/>
      <c r="J50" s="39"/>
      <c r="K50" s="39"/>
      <c r="L50" t="s" s="42">
        <v>52</v>
      </c>
      <c r="M50" s="45"/>
      <c r="N50" s="45"/>
      <c r="O50" s="45"/>
    </row>
    <row r="51" ht="14" customHeight="1">
      <c r="A51" t="s" s="40">
        <v>64</v>
      </c>
      <c r="B51" s="91"/>
      <c r="C51" s="92"/>
      <c r="D51" s="93"/>
      <c r="E51" s="103"/>
      <c r="F51" s="45"/>
      <c r="G51" s="46"/>
      <c r="H51" s="50"/>
      <c r="I51" s="39"/>
      <c r="J51" s="39"/>
      <c r="K51" s="39"/>
      <c r="L51" t="s" s="42">
        <v>52</v>
      </c>
      <c r="M51" s="45"/>
      <c r="N51" s="45"/>
      <c r="O51" s="45"/>
    </row>
    <row r="52" ht="14" customHeight="1">
      <c r="A52" t="s" s="65">
        <v>65</v>
      </c>
      <c r="B52" s="109"/>
      <c r="C52" s="110"/>
      <c r="D52" s="111"/>
      <c r="E52" s="112"/>
      <c r="F52" s="45"/>
      <c r="G52" s="46"/>
      <c r="H52" s="50"/>
      <c r="I52" s="39"/>
      <c r="J52" s="39"/>
      <c r="K52" s="39"/>
      <c r="L52" t="s" s="42">
        <v>52</v>
      </c>
      <c r="M52" s="45"/>
      <c r="N52" s="45"/>
      <c r="O52" s="45"/>
    </row>
    <row r="53" ht="14" customHeight="1">
      <c r="A53" t="s" s="69">
        <v>36</v>
      </c>
      <c r="B53" s="70"/>
      <c r="C53" s="71"/>
      <c r="D53" s="72"/>
      <c r="E53" s="72"/>
      <c r="F53" s="61"/>
      <c r="G53" s="63"/>
      <c r="H53" s="50"/>
      <c r="I53" s="64"/>
      <c r="J53" s="64"/>
      <c r="K53" s="64"/>
      <c r="L53" s="61"/>
      <c r="M53" s="61"/>
      <c r="N53" s="61"/>
      <c r="O53" s="61"/>
    </row>
    <row r="54" ht="14" customHeight="1">
      <c r="A54" t="s" s="73">
        <v>66</v>
      </c>
      <c r="B54" s="74">
        <v>1</v>
      </c>
      <c r="C54" t="s" s="113">
        <v>19</v>
      </c>
      <c r="D54" s="114" cm="1">
        <f t="array" ref="D54">138000-E33</f>
        <v>-87000</v>
      </c>
      <c r="E54" s="76" cm="1">
        <f t="array" ref="E54">B54*D54</f>
        <v>-87000</v>
      </c>
      <c r="F54" s="61"/>
      <c r="G54" s="63"/>
      <c r="H54" s="50"/>
      <c r="I54" s="64"/>
      <c r="J54" s="64"/>
      <c r="K54" s="64"/>
      <c r="L54" s="61"/>
      <c r="M54" s="61"/>
      <c r="N54" s="61"/>
      <c r="O54" s="61"/>
    </row>
    <row r="55" ht="14" customHeight="1">
      <c r="A55" s="48"/>
      <c r="B55" s="91"/>
      <c r="C55" s="92"/>
      <c r="D55" s="93"/>
      <c r="E55" s="103"/>
      <c r="F55" s="61"/>
      <c r="G55" s="63"/>
      <c r="H55" s="50"/>
      <c r="I55" s="64"/>
      <c r="J55" s="64"/>
      <c r="K55" s="64"/>
      <c r="L55" s="61"/>
      <c r="M55" s="61"/>
      <c r="N55" s="61"/>
      <c r="O55" s="61"/>
    </row>
    <row r="56" ht="14" customHeight="1">
      <c r="A56" t="s" s="51">
        <v>67</v>
      </c>
      <c r="B56" s="52"/>
      <c r="C56" s="24"/>
      <c r="D56" s="25"/>
      <c r="E56" s="54" cm="1">
        <f t="array" ref="E56">SUM(E57:E73)</f>
        <v>88361.850000000006</v>
      </c>
      <c r="F56" s="55">
        <v>46069</v>
      </c>
      <c r="G56" s="115"/>
      <c r="H56" s="116"/>
      <c r="I56" s="116"/>
      <c r="J56" s="58"/>
      <c r="K56" s="58"/>
      <c r="L56" s="117"/>
      <c r="M56" s="59"/>
      <c r="N56" s="59"/>
      <c r="O56" s="59"/>
    </row>
    <row r="57" ht="14" customHeight="1">
      <c r="A57" t="s" s="118">
        <v>68</v>
      </c>
      <c r="B57" s="78"/>
      <c r="C57" s="119"/>
      <c r="D57" s="80"/>
      <c r="E57" s="80"/>
      <c r="F57" s="81"/>
      <c r="G57" s="89"/>
      <c r="H57" s="120"/>
      <c r="I57" s="120"/>
      <c r="J57" s="121"/>
      <c r="K57" s="122"/>
      <c r="L57" s="88"/>
      <c r="M57" s="81"/>
      <c r="N57" s="81"/>
      <c r="O57" s="81"/>
    </row>
    <row r="58" ht="14" customHeight="1">
      <c r="A58" t="s" s="84">
        <v>69</v>
      </c>
      <c r="B58" s="123">
        <v>100</v>
      </c>
      <c r="C58" t="s" s="86">
        <v>28</v>
      </c>
      <c r="D58" s="87">
        <v>30</v>
      </c>
      <c r="E58" s="87" cm="1">
        <f t="array" ref="E58">D58*B58</f>
        <v>3000</v>
      </c>
      <c r="F58" s="88"/>
      <c r="G58" s="89"/>
      <c r="H58" s="39"/>
      <c r="I58" s="39"/>
      <c r="J58" t="s" s="47">
        <v>21</v>
      </c>
      <c r="K58" t="s" s="124">
        <v>22</v>
      </c>
      <c r="L58" s="88"/>
      <c r="M58" s="88"/>
      <c r="N58" s="88"/>
      <c r="O58" s="88"/>
    </row>
    <row r="59" ht="14" customHeight="1">
      <c r="A59" t="s" s="125">
        <v>70</v>
      </c>
      <c r="B59" s="85"/>
      <c r="C59" s="126"/>
      <c r="D59" s="127"/>
      <c r="E59" s="105"/>
      <c r="F59" s="128"/>
      <c r="G59" s="129"/>
      <c r="H59" s="130"/>
      <c r="I59" s="131"/>
      <c r="J59" s="50"/>
      <c r="K59" s="132"/>
      <c r="L59" s="128"/>
      <c r="M59" s="128"/>
      <c r="N59" s="128"/>
      <c r="O59" s="128"/>
    </row>
    <row r="60" ht="14" customHeight="1">
      <c r="A60" t="s" s="40">
        <v>71</v>
      </c>
      <c r="B60" s="41">
        <v>40</v>
      </c>
      <c r="C60" t="s" s="42">
        <v>42</v>
      </c>
      <c r="D60" s="44" cm="1">
        <f t="array" ref="D60">100*1.1</f>
        <v>110</v>
      </c>
      <c r="E60" s="44" cm="1">
        <f t="array" ref="E60">B60*D60</f>
        <v>4400</v>
      </c>
      <c r="F60" s="45"/>
      <c r="G60" s="46"/>
      <c r="H60" s="133"/>
      <c r="I60" s="134"/>
      <c r="J60" t="s" s="47">
        <v>21</v>
      </c>
      <c r="K60" t="s" s="124">
        <v>72</v>
      </c>
      <c r="L60" s="45"/>
      <c r="M60" s="45"/>
      <c r="N60" s="45"/>
      <c r="O60" s="45"/>
    </row>
    <row r="61" ht="14" customHeight="1">
      <c r="A61" t="s" s="40">
        <v>73</v>
      </c>
      <c r="B61" s="41">
        <v>2200</v>
      </c>
      <c r="C61" t="s" s="42">
        <v>74</v>
      </c>
      <c r="D61" s="44" cm="1">
        <f t="array" ref="D61">20.5*1.1</f>
        <v>22.55</v>
      </c>
      <c r="E61" s="44" cm="1">
        <f t="array" ref="E61">D61*B61</f>
        <v>49610</v>
      </c>
      <c r="F61" s="45"/>
      <c r="G61" s="46"/>
      <c r="H61" s="133"/>
      <c r="I61" s="134"/>
      <c r="J61" t="s" s="47">
        <v>75</v>
      </c>
      <c r="K61" t="s" s="124">
        <v>72</v>
      </c>
      <c r="L61" s="45"/>
      <c r="M61" s="45"/>
      <c r="N61" s="45"/>
      <c r="O61" s="45"/>
    </row>
    <row r="62" ht="14" customHeight="1">
      <c r="A62" t="s" s="40">
        <v>76</v>
      </c>
      <c r="B62" s="41" cm="1">
        <f t="array" ref="B62">B61</f>
        <v>2200</v>
      </c>
      <c r="C62" t="s" s="42">
        <v>74</v>
      </c>
      <c r="D62" s="44">
        <v>2</v>
      </c>
      <c r="E62" s="44" cm="1">
        <f t="array" ref="E62">D62*B62</f>
        <v>4400</v>
      </c>
      <c r="F62" s="45"/>
      <c r="G62" s="46"/>
      <c r="H62" s="133"/>
      <c r="I62" s="134"/>
      <c r="J62" s="50"/>
      <c r="K62" s="135"/>
      <c r="L62" s="45"/>
      <c r="M62" s="45"/>
      <c r="N62" s="45"/>
      <c r="O62" s="45"/>
    </row>
    <row r="63" ht="14" customHeight="1">
      <c r="A63" t="s" s="40">
        <v>77</v>
      </c>
      <c r="B63" s="41">
        <v>80</v>
      </c>
      <c r="C63" t="s" s="42">
        <v>28</v>
      </c>
      <c r="D63" s="44" cm="1">
        <f t="array" ref="D63">55</f>
        <v>55</v>
      </c>
      <c r="E63" s="44" cm="1">
        <f t="array" ref="E63">D63*B63</f>
        <v>4400</v>
      </c>
      <c r="F63" s="45"/>
      <c r="G63" s="46"/>
      <c r="H63" s="133"/>
      <c r="I63" s="134"/>
      <c r="J63" s="50"/>
      <c r="K63" s="135"/>
      <c r="L63" s="45"/>
      <c r="M63" s="45"/>
      <c r="N63" s="45"/>
      <c r="O63" s="45"/>
    </row>
    <row r="64" ht="14" customHeight="1">
      <c r="A64" t="s" s="40">
        <v>78</v>
      </c>
      <c r="B64" s="41">
        <v>10</v>
      </c>
      <c r="C64" t="s" s="42">
        <v>19</v>
      </c>
      <c r="D64" s="44">
        <v>55</v>
      </c>
      <c r="E64" s="44" cm="1">
        <f t="array" ref="E64">D64*B64</f>
        <v>550</v>
      </c>
      <c r="F64" s="45"/>
      <c r="G64" s="46"/>
      <c r="H64" s="133"/>
      <c r="I64" s="134"/>
      <c r="J64" s="50"/>
      <c r="K64" s="135"/>
      <c r="L64" s="45"/>
      <c r="M64" s="45"/>
      <c r="N64" s="45"/>
      <c r="O64" s="45"/>
    </row>
    <row r="65" ht="14" customHeight="1">
      <c r="A65" t="s" s="40">
        <v>32</v>
      </c>
      <c r="B65" s="41">
        <v>2</v>
      </c>
      <c r="C65" t="s" s="42">
        <v>19</v>
      </c>
      <c r="D65" s="44" cm="1">
        <f t="array" ref="D65">550*1.1</f>
        <v>605</v>
      </c>
      <c r="E65" s="44" cm="1">
        <f t="array" ref="E65">D65*B65</f>
        <v>1210</v>
      </c>
      <c r="F65" s="45"/>
      <c r="G65" s="46"/>
      <c r="H65" s="133"/>
      <c r="I65" s="134"/>
      <c r="J65" t="s" s="47">
        <v>75</v>
      </c>
      <c r="K65" t="s" s="124">
        <v>72</v>
      </c>
      <c r="L65" s="45"/>
      <c r="M65" s="45"/>
      <c r="N65" s="45"/>
      <c r="O65" s="45"/>
    </row>
    <row r="66" ht="14" customHeight="1">
      <c r="A66" t="s" s="40">
        <v>79</v>
      </c>
      <c r="B66" s="41">
        <v>195</v>
      </c>
      <c r="C66" t="s" s="42">
        <v>28</v>
      </c>
      <c r="D66" s="44">
        <v>25</v>
      </c>
      <c r="E66" s="44" cm="1">
        <f t="array" ref="E66">D66*B66</f>
        <v>4875</v>
      </c>
      <c r="F66" s="45"/>
      <c r="G66" s="46"/>
      <c r="H66" s="133"/>
      <c r="I66" s="134"/>
      <c r="J66" s="50"/>
      <c r="K66" s="135"/>
      <c r="L66" s="45"/>
      <c r="M66" s="45"/>
      <c r="N66" s="45"/>
      <c r="O66" s="45"/>
    </row>
    <row r="67" ht="14" customHeight="1">
      <c r="A67" t="s" s="102">
        <v>80</v>
      </c>
      <c r="B67" s="41"/>
      <c r="C67" s="49"/>
      <c r="D67" s="43"/>
      <c r="E67" s="44"/>
      <c r="F67" s="45"/>
      <c r="G67" s="46"/>
      <c r="H67" s="133"/>
      <c r="I67" s="134"/>
      <c r="J67" s="50"/>
      <c r="K67" s="135"/>
      <c r="L67" s="45"/>
      <c r="M67" s="45"/>
      <c r="N67" s="45"/>
      <c r="O67" s="45"/>
    </row>
    <row r="68" ht="14" customHeight="1">
      <c r="A68" t="s" s="40">
        <v>81</v>
      </c>
      <c r="B68" s="41">
        <v>47</v>
      </c>
      <c r="C68" t="s" s="42">
        <v>74</v>
      </c>
      <c r="D68" s="43" cm="1">
        <f t="array" ref="D68">35.5*1.1</f>
        <v>39.05</v>
      </c>
      <c r="E68" s="44" cm="1">
        <f t="array" ref="E68">B68*D68</f>
        <v>1835.35</v>
      </c>
      <c r="F68" s="45"/>
      <c r="G68" s="46"/>
      <c r="H68" s="133"/>
      <c r="I68" s="134"/>
      <c r="J68" s="50"/>
      <c r="K68" s="135"/>
      <c r="L68" s="45"/>
      <c r="M68" s="45"/>
      <c r="N68" s="45"/>
      <c r="O68" s="45"/>
    </row>
    <row r="69" ht="14" customHeight="1">
      <c r="A69" t="s" s="40">
        <v>76</v>
      </c>
      <c r="B69" s="41" cm="1">
        <f t="array" ref="B69">B68</f>
        <v>47</v>
      </c>
      <c r="C69" t="s" s="42">
        <v>74</v>
      </c>
      <c r="D69" s="44">
        <v>2</v>
      </c>
      <c r="E69" s="44" cm="1">
        <f t="array" ref="E69">D69*B69</f>
        <v>94</v>
      </c>
      <c r="F69" s="45"/>
      <c r="G69" s="46"/>
      <c r="H69" s="133"/>
      <c r="I69" s="134"/>
      <c r="J69" s="50"/>
      <c r="K69" s="135"/>
      <c r="L69" s="45"/>
      <c r="M69" s="45"/>
      <c r="N69" s="45"/>
      <c r="O69" s="45"/>
    </row>
    <row r="70" ht="14" customHeight="1">
      <c r="A70" t="s" s="40">
        <v>32</v>
      </c>
      <c r="B70" s="41">
        <v>1</v>
      </c>
      <c r="C70" t="s" s="42">
        <v>19</v>
      </c>
      <c r="D70" s="44" cm="1">
        <f t="array" ref="D70">550*1.1</f>
        <v>605</v>
      </c>
      <c r="E70" s="44" cm="1">
        <f t="array" ref="E70">D70*B70</f>
        <v>605</v>
      </c>
      <c r="F70" s="45"/>
      <c r="G70" s="46"/>
      <c r="H70" s="133"/>
      <c r="I70" s="134"/>
      <c r="J70" s="50"/>
      <c r="K70" s="135"/>
      <c r="L70" s="45"/>
      <c r="M70" s="45"/>
      <c r="N70" s="45"/>
      <c r="O70" s="45"/>
    </row>
    <row r="71" ht="14" customHeight="1">
      <c r="A71" t="s" s="102">
        <v>82</v>
      </c>
      <c r="B71" s="41">
        <v>15</v>
      </c>
      <c r="C71" t="s" s="42">
        <v>74</v>
      </c>
      <c r="D71" s="44">
        <v>80</v>
      </c>
      <c r="E71" s="44" cm="1">
        <f t="array" ref="E71">D71*B71</f>
        <v>1200</v>
      </c>
      <c r="F71" s="45"/>
      <c r="G71" s="46"/>
      <c r="H71" s="133"/>
      <c r="I71" s="134"/>
      <c r="J71" s="50"/>
      <c r="K71" s="135"/>
      <c r="L71" s="45"/>
      <c r="M71" s="45"/>
      <c r="N71" s="45"/>
      <c r="O71" s="45"/>
    </row>
    <row r="72" ht="14" customHeight="1">
      <c r="A72" t="s" s="102">
        <v>83</v>
      </c>
      <c r="B72" s="41"/>
      <c r="C72" s="49"/>
      <c r="D72" s="44"/>
      <c r="E72" s="44"/>
      <c r="F72" s="45"/>
      <c r="G72" s="46"/>
      <c r="H72" s="133"/>
      <c r="I72" s="134"/>
      <c r="J72" s="50"/>
      <c r="K72" s="135"/>
      <c r="L72" s="45"/>
      <c r="M72" s="45"/>
      <c r="N72" s="45"/>
      <c r="O72" s="45"/>
    </row>
    <row r="73" ht="14" customHeight="1">
      <c r="A73" t="s" s="40">
        <v>84</v>
      </c>
      <c r="B73" s="41" cm="1">
        <f t="array" ref="B73">B61+B71</f>
        <v>2215</v>
      </c>
      <c r="C73" t="s" s="42">
        <v>74</v>
      </c>
      <c r="D73" s="44">
        <v>5.5</v>
      </c>
      <c r="E73" s="44" cm="1">
        <f t="array" ref="E73">D73*B73</f>
        <v>12182.5</v>
      </c>
      <c r="F73" s="45"/>
      <c r="G73" s="46"/>
      <c r="H73" s="133"/>
      <c r="I73" s="134"/>
      <c r="J73" s="50"/>
      <c r="K73" s="135"/>
      <c r="L73" s="45"/>
      <c r="M73" s="45"/>
      <c r="N73" s="45"/>
      <c r="O73" s="45"/>
    </row>
    <row r="74" ht="14" customHeight="1">
      <c r="A74" s="48"/>
      <c r="B74" s="41"/>
      <c r="C74" s="49"/>
      <c r="D74" s="43"/>
      <c r="E74" s="44"/>
      <c r="F74" s="45"/>
      <c r="G74" s="46"/>
      <c r="H74" s="133"/>
      <c r="I74" s="134"/>
      <c r="J74" s="50"/>
      <c r="K74" s="135"/>
      <c r="L74" s="45"/>
      <c r="M74" s="45"/>
      <c r="N74" s="45"/>
      <c r="O74" s="45"/>
    </row>
    <row r="75" ht="14" customHeight="1">
      <c r="A75" t="s" s="51">
        <v>85</v>
      </c>
      <c r="B75" s="52"/>
      <c r="C75" s="53"/>
      <c r="D75" s="54"/>
      <c r="E75" s="54" cm="1">
        <f t="array" ref="E75">SUM(E76:E81)</f>
        <v>39475</v>
      </c>
      <c r="F75" s="55">
        <v>46069</v>
      </c>
      <c r="G75" s="56"/>
      <c r="H75" t="s" s="136">
        <v>20</v>
      </c>
      <c r="I75" s="29"/>
      <c r="J75" s="58"/>
      <c r="K75" s="58"/>
      <c r="L75" s="59"/>
      <c r="M75" s="59"/>
      <c r="N75" s="59"/>
      <c r="O75" s="59"/>
    </row>
    <row r="76" ht="14" customHeight="1">
      <c r="A76" t="s" s="32">
        <v>86</v>
      </c>
      <c r="B76" s="33">
        <v>1</v>
      </c>
      <c r="C76" t="s" s="34">
        <v>19</v>
      </c>
      <c r="D76" s="80">
        <v>15000</v>
      </c>
      <c r="E76" s="35" cm="1">
        <f t="array" ref="E76">D76*B76</f>
        <v>15000</v>
      </c>
      <c r="F76" s="36"/>
      <c r="G76" s="37"/>
      <c r="H76" s="137"/>
      <c r="I76" s="39"/>
      <c r="J76" s="121"/>
      <c r="K76" s="122"/>
      <c r="L76" s="36"/>
      <c r="M76" s="36"/>
      <c r="N76" s="36"/>
      <c r="O76" s="36"/>
    </row>
    <row r="77" ht="14" customHeight="1">
      <c r="A77" t="s" s="40">
        <v>87</v>
      </c>
      <c r="B77" s="41">
        <v>10</v>
      </c>
      <c r="C77" t="s" s="42">
        <v>19</v>
      </c>
      <c r="D77" s="87">
        <v>1375</v>
      </c>
      <c r="E77" s="44" cm="1">
        <f t="array" ref="E77">D77*B77</f>
        <v>13750</v>
      </c>
      <c r="F77" s="45"/>
      <c r="G77" s="46"/>
      <c r="H77" s="63"/>
      <c r="I77" s="39"/>
      <c r="J77" t="s" s="47">
        <v>21</v>
      </c>
      <c r="K77" t="s" s="124">
        <v>22</v>
      </c>
      <c r="L77" s="45"/>
      <c r="M77" s="45"/>
      <c r="N77" s="45"/>
      <c r="O77" s="45"/>
    </row>
    <row r="78" ht="14" customHeight="1">
      <c r="A78" t="s" s="138">
        <v>88</v>
      </c>
      <c r="B78" s="139">
        <v>4</v>
      </c>
      <c r="C78" t="s" s="100">
        <v>19</v>
      </c>
      <c r="D78" s="87">
        <v>1950</v>
      </c>
      <c r="E78" s="101" cm="1">
        <f t="array" ref="E78">D78*B78</f>
        <v>7800</v>
      </c>
      <c r="F78" s="140"/>
      <c r="G78" s="141"/>
      <c r="H78" s="63"/>
      <c r="I78" s="39"/>
      <c r="J78" t="s" s="47">
        <v>21</v>
      </c>
      <c r="K78" t="s" s="124">
        <v>22</v>
      </c>
      <c r="L78" s="140"/>
      <c r="M78" s="140"/>
      <c r="N78" s="140"/>
      <c r="O78" s="140"/>
    </row>
    <row r="79" ht="14" customHeight="1">
      <c r="A79" t="s" s="84">
        <v>89</v>
      </c>
      <c r="B79" s="123">
        <v>1</v>
      </c>
      <c r="C79" t="s" s="86">
        <v>19</v>
      </c>
      <c r="D79" s="87">
        <v>1500</v>
      </c>
      <c r="E79" s="87" cm="1">
        <f t="array" ref="E79">D79*B79</f>
        <v>1500</v>
      </c>
      <c r="F79" s="88"/>
      <c r="G79" s="89"/>
      <c r="H79" s="39"/>
      <c r="I79" s="39"/>
      <c r="J79" t="s" s="47">
        <v>21</v>
      </c>
      <c r="K79" t="s" s="124">
        <v>22</v>
      </c>
      <c r="L79" s="88"/>
      <c r="M79" s="88"/>
      <c r="N79" s="88"/>
      <c r="O79" s="88"/>
    </row>
    <row r="80" ht="14" customHeight="1">
      <c r="A80" t="s" s="84">
        <v>90</v>
      </c>
      <c r="B80" s="123">
        <v>3</v>
      </c>
      <c r="C80" t="s" s="86">
        <v>19</v>
      </c>
      <c r="D80" s="87">
        <v>475</v>
      </c>
      <c r="E80" s="87" cm="1">
        <f t="array" ref="E80">D80*B80</f>
        <v>1425</v>
      </c>
      <c r="F80" s="88"/>
      <c r="G80" s="89"/>
      <c r="H80" s="39"/>
      <c r="I80" s="39"/>
      <c r="J80" t="s" s="47">
        <v>21</v>
      </c>
      <c r="K80" t="s" s="124">
        <v>22</v>
      </c>
      <c r="L80" s="88"/>
      <c r="M80" s="88"/>
      <c r="N80" s="88"/>
      <c r="O80" s="88"/>
    </row>
    <row r="81" ht="14" customHeight="1">
      <c r="A81" s="142"/>
      <c r="B81" s="85"/>
      <c r="C81" s="126"/>
      <c r="D81" s="105"/>
      <c r="E81" s="105"/>
      <c r="F81" s="128"/>
      <c r="G81" s="129"/>
      <c r="H81" s="39"/>
      <c r="I81" s="39"/>
      <c r="J81" s="39"/>
      <c r="K81" s="39"/>
      <c r="L81" s="128"/>
      <c r="M81" s="128"/>
      <c r="N81" s="128"/>
      <c r="O81" s="128"/>
    </row>
    <row r="82" ht="14" customHeight="1">
      <c r="A82" t="s" s="22">
        <v>91</v>
      </c>
      <c r="B82" s="143"/>
      <c r="C82" s="53"/>
      <c r="D82" s="54"/>
      <c r="E82" s="54" cm="1">
        <f t="array" ref="E82">SUM(E83:E95)</f>
        <v>138138.15</v>
      </c>
      <c r="F82" s="55">
        <v>46069</v>
      </c>
      <c r="G82" s="56"/>
      <c r="H82" s="57"/>
      <c r="I82" s="39"/>
      <c r="J82" s="58"/>
      <c r="K82" s="58"/>
      <c r="L82" s="59"/>
      <c r="M82" s="59"/>
      <c r="N82" s="59"/>
      <c r="O82" s="59"/>
    </row>
    <row r="83" ht="14" customHeight="1">
      <c r="A83" t="s" s="32">
        <v>92</v>
      </c>
      <c r="B83" s="33">
        <v>100</v>
      </c>
      <c r="C83" t="s" s="34">
        <v>28</v>
      </c>
      <c r="D83" s="35">
        <v>38</v>
      </c>
      <c r="E83" s="35" cm="1">
        <f t="array" ref="E83">D83*B83</f>
        <v>3800</v>
      </c>
      <c r="F83" s="36"/>
      <c r="G83" s="37"/>
      <c r="H83" s="122"/>
      <c r="I83" s="39"/>
      <c r="J83" s="121"/>
      <c r="K83" s="122"/>
      <c r="L83" s="36"/>
      <c r="M83" s="36"/>
      <c r="N83" s="36"/>
      <c r="O83" s="36"/>
    </row>
    <row r="84" ht="14" customHeight="1">
      <c r="A84" t="s" s="40">
        <v>93</v>
      </c>
      <c r="B84" s="41">
        <v>1015</v>
      </c>
      <c r="C84" t="s" s="42">
        <v>28</v>
      </c>
      <c r="D84" s="44">
        <v>17.25</v>
      </c>
      <c r="E84" s="44" cm="1">
        <f t="array" ref="E84">D84*B84</f>
        <v>17508.75</v>
      </c>
      <c r="F84" s="45"/>
      <c r="G84" s="46"/>
      <c r="H84" s="135"/>
      <c r="I84" s="39"/>
      <c r="J84" s="50"/>
      <c r="K84" s="135"/>
      <c r="L84" s="45"/>
      <c r="M84" s="45"/>
      <c r="N84" s="45"/>
      <c r="O84" s="45"/>
    </row>
    <row r="85" ht="14" customHeight="1">
      <c r="A85" t="s" s="40">
        <v>94</v>
      </c>
      <c r="B85" s="41">
        <v>75</v>
      </c>
      <c r="C85" t="s" s="42">
        <v>95</v>
      </c>
      <c r="D85" s="44" cm="1">
        <f t="array" ref="D85">310*1.1</f>
        <v>341</v>
      </c>
      <c r="E85" s="44" cm="1">
        <f t="array" ref="E85">D85*B85</f>
        <v>25575</v>
      </c>
      <c r="F85" s="45"/>
      <c r="G85" s="46"/>
      <c r="H85" s="135"/>
      <c r="I85" s="39"/>
      <c r="J85" s="50"/>
      <c r="K85" s="135"/>
      <c r="L85" s="45"/>
      <c r="M85" s="45"/>
      <c r="N85" s="45"/>
      <c r="O85" s="45"/>
    </row>
    <row r="86" ht="14" customHeight="1">
      <c r="A86" t="s" s="40">
        <v>96</v>
      </c>
      <c r="B86" s="41">
        <v>50</v>
      </c>
      <c r="C86" t="s" s="42">
        <v>95</v>
      </c>
      <c r="D86" s="44" cm="1">
        <f t="array" ref="D86">310*1.1</f>
        <v>341</v>
      </c>
      <c r="E86" s="44" cm="1">
        <f t="array" ref="E86">D86*B86</f>
        <v>17050</v>
      </c>
      <c r="F86" s="45"/>
      <c r="G86" s="46"/>
      <c r="H86" s="135"/>
      <c r="I86" s="39"/>
      <c r="J86" s="50"/>
      <c r="K86" s="135"/>
      <c r="L86" s="45"/>
      <c r="M86" s="45"/>
      <c r="N86" s="45"/>
      <c r="O86" s="45"/>
    </row>
    <row r="87" ht="14" customHeight="1">
      <c r="A87" t="s" s="40">
        <v>97</v>
      </c>
      <c r="B87" s="41">
        <v>7000</v>
      </c>
      <c r="C87" t="s" s="42">
        <v>74</v>
      </c>
      <c r="D87" s="44" cm="1">
        <f t="array" ref="D87">0.89*1.2</f>
        <v>1.068</v>
      </c>
      <c r="E87" s="44" cm="1">
        <f t="array" ref="E87">D87*B87</f>
        <v>7476</v>
      </c>
      <c r="F87" s="45"/>
      <c r="G87" s="46"/>
      <c r="H87" s="135"/>
      <c r="I87" s="39"/>
      <c r="J87" t="s" s="47">
        <v>21</v>
      </c>
      <c r="K87" s="135"/>
      <c r="L87" s="45"/>
      <c r="M87" s="45"/>
      <c r="N87" s="45"/>
      <c r="O87" s="45"/>
    </row>
    <row r="88" ht="14" customHeight="1">
      <c r="A88" t="s" s="40">
        <v>98</v>
      </c>
      <c r="B88" s="41">
        <v>500</v>
      </c>
      <c r="C88" t="s" s="42">
        <v>74</v>
      </c>
      <c r="D88" s="44" cm="1">
        <f t="array" ref="D88">0.89*1.2</f>
        <v>1.068</v>
      </c>
      <c r="E88" s="44" cm="1">
        <f t="array" ref="E88">D88*B88</f>
        <v>534</v>
      </c>
      <c r="F88" s="45"/>
      <c r="G88" s="46"/>
      <c r="H88" s="135"/>
      <c r="I88" s="39"/>
      <c r="J88" s="50"/>
      <c r="K88" s="135"/>
      <c r="L88" s="45"/>
      <c r="M88" s="45"/>
      <c r="N88" s="45"/>
      <c r="O88" s="45"/>
    </row>
    <row r="89" ht="14" customHeight="1">
      <c r="A89" t="s" s="40">
        <v>99</v>
      </c>
      <c r="B89" s="41" cm="1">
        <f t="array" ref="B89">B87+B88</f>
        <v>7500</v>
      </c>
      <c r="C89" t="s" s="42">
        <v>74</v>
      </c>
      <c r="D89" s="44">
        <v>2.05</v>
      </c>
      <c r="E89" s="44" cm="1">
        <f t="array" ref="E89">D89*B89</f>
        <v>15375</v>
      </c>
      <c r="F89" s="45"/>
      <c r="G89" s="46"/>
      <c r="H89" t="s" s="47">
        <v>100</v>
      </c>
      <c r="I89" s="39"/>
      <c r="J89" t="s" s="47">
        <v>21</v>
      </c>
      <c r="K89" t="s" s="124">
        <v>22</v>
      </c>
      <c r="L89" s="45"/>
      <c r="M89" s="45"/>
      <c r="N89" s="45"/>
      <c r="O89" s="45"/>
    </row>
    <row r="90" ht="14" customHeight="1">
      <c r="A90" t="s" s="40">
        <v>101</v>
      </c>
      <c r="B90" s="41">
        <v>3</v>
      </c>
      <c r="C90" t="s" s="42">
        <v>19</v>
      </c>
      <c r="D90" s="44" cm="1">
        <f t="array" ref="D90">378*1.1</f>
        <v>415.8</v>
      </c>
      <c r="E90" s="44" cm="1">
        <f t="array" ref="E90">D90*B90</f>
        <v>1247.4</v>
      </c>
      <c r="F90" s="45"/>
      <c r="G90" s="46"/>
      <c r="H90" t="s" s="47">
        <v>100</v>
      </c>
      <c r="I90" s="39"/>
      <c r="J90" t="s" s="47">
        <v>21</v>
      </c>
      <c r="K90" t="s" s="124">
        <v>22</v>
      </c>
      <c r="L90" s="45"/>
      <c r="M90" s="45"/>
      <c r="N90" s="45"/>
      <c r="O90" s="45"/>
    </row>
    <row r="91" ht="14" customHeight="1">
      <c r="A91" t="s" s="40">
        <v>102</v>
      </c>
      <c r="B91" s="41">
        <v>4000</v>
      </c>
      <c r="C91" t="s" s="42">
        <v>74</v>
      </c>
      <c r="D91" s="44">
        <v>4.5</v>
      </c>
      <c r="E91" s="44" cm="1">
        <f t="array" ref="E91">D91*B91</f>
        <v>18000</v>
      </c>
      <c r="F91" s="45"/>
      <c r="G91" s="46"/>
      <c r="H91" s="135"/>
      <c r="I91" s="39"/>
      <c r="J91" s="50"/>
      <c r="K91" s="135"/>
      <c r="L91" s="45"/>
      <c r="M91" s="45"/>
      <c r="N91" s="45"/>
      <c r="O91" s="45"/>
    </row>
    <row r="92" ht="14" customHeight="1">
      <c r="A92" t="s" s="40">
        <v>103</v>
      </c>
      <c r="B92" s="41" cm="1">
        <f t="array" ref="B92">B91</f>
        <v>4000</v>
      </c>
      <c r="C92" t="s" s="42">
        <v>74</v>
      </c>
      <c r="D92" s="44" cm="1">
        <f t="array" ref="D92">0.89*1.2</f>
        <v>1.068</v>
      </c>
      <c r="E92" s="44" cm="1">
        <f t="array" ref="E92">D92*B92</f>
        <v>4272</v>
      </c>
      <c r="F92" s="45"/>
      <c r="G92" s="46"/>
      <c r="H92" s="135"/>
      <c r="I92" s="39"/>
      <c r="J92" s="50"/>
      <c r="K92" s="135"/>
      <c r="L92" s="45"/>
      <c r="M92" s="45"/>
      <c r="N92" s="45"/>
      <c r="O92" s="45"/>
    </row>
    <row r="93" ht="14" customHeight="1">
      <c r="A93" t="s" s="40">
        <v>104</v>
      </c>
      <c r="B93" s="41">
        <v>1400</v>
      </c>
      <c r="C93" t="s" s="42">
        <v>74</v>
      </c>
      <c r="D93" s="44">
        <v>9.25</v>
      </c>
      <c r="E93" s="44" cm="1">
        <f t="array" ref="E93">D93*B93</f>
        <v>12950</v>
      </c>
      <c r="F93" s="45"/>
      <c r="G93" s="46"/>
      <c r="H93" s="135"/>
      <c r="I93" s="39"/>
      <c r="J93" s="50"/>
      <c r="K93" s="135"/>
      <c r="L93" s="45"/>
      <c r="M93" s="45"/>
      <c r="N93" s="45"/>
      <c r="O93" s="45"/>
    </row>
    <row r="94" ht="14" customHeight="1">
      <c r="A94" t="s" s="40">
        <v>105</v>
      </c>
      <c r="B94" s="41">
        <v>3000</v>
      </c>
      <c r="C94" t="s" s="42">
        <v>74</v>
      </c>
      <c r="D94" s="44">
        <v>3.9</v>
      </c>
      <c r="E94" s="44" cm="1">
        <f t="array" ref="E94">D94*B94</f>
        <v>11700</v>
      </c>
      <c r="F94" s="45"/>
      <c r="G94" s="46"/>
      <c r="H94" s="135"/>
      <c r="I94" s="39"/>
      <c r="J94" s="50"/>
      <c r="K94" s="135"/>
      <c r="L94" s="45"/>
      <c r="M94" s="45"/>
      <c r="N94" s="45"/>
      <c r="O94" s="45"/>
    </row>
    <row r="95" ht="14" customHeight="1">
      <c r="A95" t="s" s="65">
        <v>106</v>
      </c>
      <c r="B95" s="66">
        <v>10</v>
      </c>
      <c r="C95" t="s" s="67">
        <v>19</v>
      </c>
      <c r="D95" s="68">
        <v>265</v>
      </c>
      <c r="E95" s="68" cm="1">
        <f t="array" ref="E95">D95*B95</f>
        <v>2650</v>
      </c>
      <c r="F95" s="45"/>
      <c r="G95" s="46"/>
      <c r="H95" s="135"/>
      <c r="I95" s="39"/>
      <c r="J95" s="50"/>
      <c r="K95" s="135"/>
      <c r="L95" s="45"/>
      <c r="M95" s="45"/>
      <c r="N95" s="45"/>
      <c r="O95" s="45"/>
    </row>
    <row r="96" ht="14" customHeight="1">
      <c r="A96" t="s" s="69">
        <v>36</v>
      </c>
      <c r="B96" s="70"/>
      <c r="C96" s="71"/>
      <c r="D96" s="72"/>
      <c r="E96" s="72"/>
      <c r="F96" s="61"/>
      <c r="G96" s="62"/>
      <c r="H96" s="39"/>
      <c r="I96" s="39"/>
      <c r="J96" s="39"/>
      <c r="K96" s="39"/>
      <c r="L96" s="61"/>
      <c r="M96" s="61"/>
      <c r="N96" s="61"/>
      <c r="O96" s="61"/>
    </row>
    <row r="97" ht="14" customHeight="1">
      <c r="A97" t="s" s="144">
        <v>107</v>
      </c>
      <c r="B97" s="74"/>
      <c r="C97" s="145"/>
      <c r="D97" s="76"/>
      <c r="E97" s="76"/>
      <c r="F97" s="61"/>
      <c r="G97" s="62"/>
      <c r="H97" s="39"/>
      <c r="I97" s="39"/>
      <c r="J97" s="39"/>
      <c r="K97" s="39"/>
      <c r="L97" s="61"/>
      <c r="M97" s="61"/>
      <c r="N97" s="61"/>
      <c r="O97" s="61"/>
    </row>
    <row r="98" ht="14" customHeight="1">
      <c r="A98" t="s" s="146">
        <v>96</v>
      </c>
      <c r="B98" s="147" cm="1">
        <f t="array" ref="B98">(B99*2)/27</f>
        <v>-26.6666666666667</v>
      </c>
      <c r="C98" t="s" s="148">
        <v>108</v>
      </c>
      <c r="D98" s="149" cm="1">
        <f t="array" ref="D98">310*1.1</f>
        <v>341</v>
      </c>
      <c r="E98" s="149" cm="1">
        <f t="array" ref="E98">D98*B98</f>
        <v>-9093.333333333339</v>
      </c>
      <c r="F98" s="61"/>
      <c r="G98" s="62"/>
      <c r="H98" s="39"/>
      <c r="I98" s="39"/>
      <c r="J98" s="39"/>
      <c r="K98" s="39"/>
      <c r="L98" s="61"/>
      <c r="M98" s="61"/>
      <c r="N98" s="61"/>
      <c r="O98" s="61"/>
    </row>
    <row r="99" ht="14" customHeight="1">
      <c r="A99" t="s" s="146">
        <v>109</v>
      </c>
      <c r="B99" s="147">
        <v>-360</v>
      </c>
      <c r="C99" t="s" s="148">
        <v>74</v>
      </c>
      <c r="D99" s="149" cm="1">
        <f t="array" ref="D99">0.89*1.2</f>
        <v>1.068</v>
      </c>
      <c r="E99" s="149" cm="1">
        <f t="array" ref="E99">D99*B99</f>
        <v>-384.48</v>
      </c>
      <c r="F99" s="61"/>
      <c r="G99" s="62"/>
      <c r="H99" s="39"/>
      <c r="I99" s="39"/>
      <c r="J99" s="39"/>
      <c r="K99" s="39"/>
      <c r="L99" s="61"/>
      <c r="M99" s="61"/>
      <c r="N99" s="61"/>
      <c r="O99" s="61"/>
    </row>
    <row r="100" ht="14" customHeight="1">
      <c r="A100" t="s" s="146">
        <v>110</v>
      </c>
      <c r="B100" s="147" cm="1">
        <f t="array" ref="B100">B99</f>
        <v>-360</v>
      </c>
      <c r="C100" t="s" s="148">
        <v>74</v>
      </c>
      <c r="D100" s="149" cm="1">
        <f t="array" ref="D100">3.25</f>
        <v>3.25</v>
      </c>
      <c r="E100" s="149" cm="1">
        <f t="array" ref="E100">D100*B100</f>
        <v>-1170</v>
      </c>
      <c r="F100" s="61"/>
      <c r="G100" s="62"/>
      <c r="H100" s="39"/>
      <c r="I100" s="39"/>
      <c r="J100" s="39"/>
      <c r="K100" s="39"/>
      <c r="L100" s="61"/>
      <c r="M100" s="61"/>
      <c r="N100" s="61"/>
      <c r="O100" s="61"/>
    </row>
    <row r="101" ht="14" customHeight="1">
      <c r="A101" t="s" s="146">
        <v>102</v>
      </c>
      <c r="B101" s="147" cm="1">
        <f t="array" ref="B101">-B99</f>
        <v>360</v>
      </c>
      <c r="C101" t="s" s="148">
        <v>74</v>
      </c>
      <c r="D101" s="149">
        <v>4.5</v>
      </c>
      <c r="E101" s="149" cm="1">
        <f t="array" ref="E101">D101*B101</f>
        <v>1620</v>
      </c>
      <c r="F101" s="61"/>
      <c r="G101" s="62"/>
      <c r="H101" s="39"/>
      <c r="I101" s="39"/>
      <c r="J101" s="39"/>
      <c r="K101" s="39"/>
      <c r="L101" s="61"/>
      <c r="M101" s="61"/>
      <c r="N101" s="61"/>
      <c r="O101" s="61"/>
    </row>
    <row r="102" ht="14" customHeight="1">
      <c r="A102" t="s" s="146">
        <v>103</v>
      </c>
      <c r="B102" s="147" cm="1">
        <f t="array" ref="B102">B101</f>
        <v>360</v>
      </c>
      <c r="C102" t="s" s="148">
        <v>74</v>
      </c>
      <c r="D102" s="149" cm="1">
        <f t="array" ref="D102">0.89*1.2</f>
        <v>1.068</v>
      </c>
      <c r="E102" s="149" cm="1">
        <f t="array" ref="E102">D102*B102</f>
        <v>384.48</v>
      </c>
      <c r="F102" s="61"/>
      <c r="G102" s="62"/>
      <c r="H102" s="39"/>
      <c r="I102" s="39"/>
      <c r="J102" s="39"/>
      <c r="K102" s="39"/>
      <c r="L102" s="61"/>
      <c r="M102" s="61"/>
      <c r="N102" s="61"/>
      <c r="O102" s="61"/>
    </row>
    <row r="103" ht="14" customHeight="1">
      <c r="A103" t="s" s="146">
        <v>111</v>
      </c>
      <c r="B103" s="147">
        <v>-415</v>
      </c>
      <c r="C103" t="s" s="148">
        <v>28</v>
      </c>
      <c r="D103" s="149" cm="1">
        <f t="array" ref="D103">SUM(D84)</f>
        <v>17.25</v>
      </c>
      <c r="E103" s="149" cm="1">
        <f t="array" ref="E103">D103*B103</f>
        <v>-7158.75</v>
      </c>
      <c r="F103" s="61"/>
      <c r="G103" s="62"/>
      <c r="H103" s="39"/>
      <c r="I103" s="39"/>
      <c r="J103" s="39"/>
      <c r="K103" s="39"/>
      <c r="L103" s="61"/>
      <c r="M103" s="61"/>
      <c r="N103" s="61"/>
      <c r="O103" s="61"/>
    </row>
    <row r="104" ht="14" customHeight="1">
      <c r="A104" t="s" s="146">
        <v>112</v>
      </c>
      <c r="B104" s="147">
        <v>-100</v>
      </c>
      <c r="C104" t="s" s="148">
        <v>28</v>
      </c>
      <c r="D104" s="149" cm="1">
        <f t="array" ref="D104">D83</f>
        <v>38</v>
      </c>
      <c r="E104" s="149" cm="1">
        <f t="array" ref="E104">D104*B104</f>
        <v>-3800</v>
      </c>
      <c r="F104" s="61"/>
      <c r="G104" s="62"/>
      <c r="H104" s="39"/>
      <c r="I104" s="39"/>
      <c r="J104" s="39"/>
      <c r="K104" s="39"/>
      <c r="L104" s="61"/>
      <c r="M104" s="61"/>
      <c r="N104" s="61"/>
      <c r="O104" s="61"/>
    </row>
    <row r="105" ht="14" customHeight="1">
      <c r="A105" s="48"/>
      <c r="B105" s="49"/>
      <c r="C105" s="49"/>
      <c r="D105" s="60"/>
      <c r="E105" s="60"/>
      <c r="F105" s="61"/>
      <c r="G105" s="62"/>
      <c r="H105" s="39"/>
      <c r="I105" s="39"/>
      <c r="J105" s="39"/>
      <c r="K105" s="39"/>
      <c r="L105" s="61"/>
      <c r="M105" s="61"/>
      <c r="N105" s="61"/>
      <c r="O105" s="61"/>
    </row>
    <row r="106" ht="14" customHeight="1">
      <c r="A106" t="s" s="51">
        <v>113</v>
      </c>
      <c r="B106" s="52"/>
      <c r="C106" s="53"/>
      <c r="D106" s="54"/>
      <c r="E106" s="54" cm="1">
        <f t="array" ref="E106">SUM(E107:E117)</f>
        <v>118753.18</v>
      </c>
      <c r="F106" s="55">
        <v>46069</v>
      </c>
      <c r="G106" s="56"/>
      <c r="H106" t="s" s="150">
        <v>20</v>
      </c>
      <c r="I106" s="39"/>
      <c r="J106" s="58"/>
      <c r="K106" s="58"/>
      <c r="L106" s="59"/>
      <c r="M106" s="59"/>
      <c r="N106" s="59"/>
      <c r="O106" s="59"/>
    </row>
    <row r="107" ht="14" customHeight="1">
      <c r="A107" t="s" s="32">
        <v>114</v>
      </c>
      <c r="B107" s="33">
        <v>40</v>
      </c>
      <c r="C107" t="s" s="34">
        <v>19</v>
      </c>
      <c r="D107" s="35">
        <v>327.39</v>
      </c>
      <c r="E107" s="35" cm="1">
        <f t="array" ref="E107">B107*D107</f>
        <v>13095.6</v>
      </c>
      <c r="F107" s="36"/>
      <c r="G107" s="37"/>
      <c r="H107" s="137"/>
      <c r="I107" s="39"/>
      <c r="J107" s="120"/>
      <c r="K107" s="120"/>
      <c r="L107" s="36"/>
      <c r="M107" s="36"/>
      <c r="N107" s="36"/>
      <c r="O107" s="36"/>
    </row>
    <row r="108" ht="14" customHeight="1">
      <c r="A108" t="s" s="40">
        <v>115</v>
      </c>
      <c r="B108" s="41">
        <v>150</v>
      </c>
      <c r="C108" t="s" s="42">
        <v>19</v>
      </c>
      <c r="D108" s="44">
        <v>51.85</v>
      </c>
      <c r="E108" s="44" cm="1">
        <f t="array" ref="E108">B108*D108</f>
        <v>7777.5</v>
      </c>
      <c r="F108" s="45"/>
      <c r="G108" s="46"/>
      <c r="H108" s="63"/>
      <c r="I108" s="39"/>
      <c r="J108" s="39"/>
      <c r="K108" s="39"/>
      <c r="L108" s="45"/>
      <c r="M108" s="45"/>
      <c r="N108" s="45"/>
      <c r="O108" s="45"/>
    </row>
    <row r="109" ht="14" customHeight="1">
      <c r="A109" t="s" s="40">
        <v>116</v>
      </c>
      <c r="B109" s="41">
        <v>150</v>
      </c>
      <c r="C109" t="s" s="42">
        <v>19</v>
      </c>
      <c r="D109" s="44">
        <v>48.64</v>
      </c>
      <c r="E109" s="44" cm="1">
        <f t="array" ref="E109">B109*D109</f>
        <v>7296</v>
      </c>
      <c r="F109" s="45"/>
      <c r="G109" s="46"/>
      <c r="H109" s="63"/>
      <c r="I109" s="39"/>
      <c r="J109" s="39"/>
      <c r="K109" s="39"/>
      <c r="L109" s="45"/>
      <c r="M109" s="45"/>
      <c r="N109" s="45"/>
      <c r="O109" s="45"/>
    </row>
    <row r="110" ht="14" customHeight="1">
      <c r="A110" t="s" s="40">
        <v>117</v>
      </c>
      <c r="B110" s="41" cm="1">
        <f t="array" ref="B110">33+12</f>
        <v>45</v>
      </c>
      <c r="C110" t="s" s="42">
        <v>19</v>
      </c>
      <c r="D110" s="44">
        <v>186.04</v>
      </c>
      <c r="E110" s="44" cm="1">
        <f t="array" ref="E110">B110*D110</f>
        <v>8371.799999999999</v>
      </c>
      <c r="F110" s="45"/>
      <c r="G110" s="46"/>
      <c r="H110" s="63"/>
      <c r="I110" s="39"/>
      <c r="J110" s="39"/>
      <c r="K110" s="39"/>
      <c r="L110" s="45"/>
      <c r="M110" s="45"/>
      <c r="N110" s="45"/>
      <c r="O110" s="45"/>
    </row>
    <row r="111" ht="14" customHeight="1">
      <c r="A111" t="s" s="40">
        <v>118</v>
      </c>
      <c r="B111" s="41">
        <v>15</v>
      </c>
      <c r="C111" t="s" s="42">
        <v>19</v>
      </c>
      <c r="D111" s="44" cm="1">
        <f t="array" ref="D111">315.43*1.2</f>
        <v>378.516</v>
      </c>
      <c r="E111" s="44" cm="1">
        <f t="array" ref="E111">B111*D111</f>
        <v>5677.74</v>
      </c>
      <c r="F111" s="45"/>
      <c r="G111" s="46"/>
      <c r="H111" s="63"/>
      <c r="I111" s="39"/>
      <c r="J111" s="39"/>
      <c r="K111" s="39"/>
      <c r="L111" s="45"/>
      <c r="M111" s="45"/>
      <c r="N111" s="45"/>
      <c r="O111" s="45"/>
    </row>
    <row r="112" ht="14" customHeight="1">
      <c r="A112" t="s" s="40">
        <v>119</v>
      </c>
      <c r="B112" s="41">
        <v>26</v>
      </c>
      <c r="C112" t="s" s="42">
        <v>19</v>
      </c>
      <c r="D112" s="44">
        <v>930</v>
      </c>
      <c r="E112" s="44" cm="1">
        <f t="array" ref="E112">B112*D112</f>
        <v>24180</v>
      </c>
      <c r="F112" s="45"/>
      <c r="G112" s="46"/>
      <c r="H112" s="63"/>
      <c r="I112" s="39"/>
      <c r="J112" s="39"/>
      <c r="K112" s="39"/>
      <c r="L112" s="45"/>
      <c r="M112" s="45"/>
      <c r="N112" s="45"/>
      <c r="O112" s="45"/>
    </row>
    <row r="113" ht="14" customHeight="1">
      <c r="A113" t="s" s="40">
        <v>120</v>
      </c>
      <c r="B113" s="41">
        <v>12</v>
      </c>
      <c r="C113" t="s" s="42">
        <v>19</v>
      </c>
      <c r="D113" s="44">
        <v>1358.27</v>
      </c>
      <c r="E113" s="44" cm="1">
        <f t="array" ref="E113">B113*D113</f>
        <v>16299.24</v>
      </c>
      <c r="F113" s="45"/>
      <c r="G113" s="46"/>
      <c r="H113" s="63"/>
      <c r="I113" s="39"/>
      <c r="J113" s="39"/>
      <c r="K113" s="39"/>
      <c r="L113" s="45"/>
      <c r="M113" s="45"/>
      <c r="N113" s="45"/>
      <c r="O113" s="45"/>
    </row>
    <row r="114" ht="14" customHeight="1">
      <c r="A114" t="s" s="40">
        <v>121</v>
      </c>
      <c r="B114" s="41">
        <v>15</v>
      </c>
      <c r="C114" t="s" s="42">
        <v>19</v>
      </c>
      <c r="D114" s="44">
        <v>1649.52</v>
      </c>
      <c r="E114" s="44" cm="1">
        <f t="array" ref="E114">B114*D114</f>
        <v>24742.8</v>
      </c>
      <c r="F114" s="45"/>
      <c r="G114" s="46"/>
      <c r="H114" s="63"/>
      <c r="I114" s="39"/>
      <c r="J114" s="39"/>
      <c r="K114" s="39"/>
      <c r="L114" s="45"/>
      <c r="M114" s="45"/>
      <c r="N114" s="45"/>
      <c r="O114" s="45"/>
    </row>
    <row r="115" ht="14" customHeight="1">
      <c r="A115" t="s" s="40">
        <v>122</v>
      </c>
      <c r="B115" s="41">
        <v>5</v>
      </c>
      <c r="C115" t="s" s="42">
        <v>19</v>
      </c>
      <c r="D115" s="44">
        <v>302.5</v>
      </c>
      <c r="E115" s="44" cm="1">
        <f t="array" ref="E115">B115*D115</f>
        <v>1512.5</v>
      </c>
      <c r="F115" s="45"/>
      <c r="G115" s="46"/>
      <c r="H115" s="63"/>
      <c r="I115" s="39"/>
      <c r="J115" s="39"/>
      <c r="K115" s="39"/>
      <c r="L115" s="45"/>
      <c r="M115" s="45"/>
      <c r="N115" s="45"/>
      <c r="O115" s="45"/>
    </row>
    <row r="116" ht="14" customHeight="1">
      <c r="A116" t="s" s="40">
        <v>123</v>
      </c>
      <c r="B116" s="41">
        <v>2</v>
      </c>
      <c r="C116" t="s" s="42">
        <v>19</v>
      </c>
      <c r="D116" s="44">
        <v>4000</v>
      </c>
      <c r="E116" s="44" cm="1">
        <f t="array" ref="E116">B116*D116</f>
        <v>8000</v>
      </c>
      <c r="F116" s="45"/>
      <c r="G116" s="46"/>
      <c r="H116" s="63"/>
      <c r="I116" s="39"/>
      <c r="J116" s="39"/>
      <c r="K116" s="39"/>
      <c r="L116" s="45"/>
      <c r="M116" s="45"/>
      <c r="N116" s="45"/>
      <c r="O116" s="45"/>
    </row>
    <row r="117" ht="14" customHeight="1">
      <c r="A117" t="s" s="65">
        <v>124</v>
      </c>
      <c r="B117" s="66" cm="1">
        <f t="array" ref="B117">B116</f>
        <v>2</v>
      </c>
      <c r="C117" t="s" s="67">
        <v>19</v>
      </c>
      <c r="D117" s="68">
        <v>900</v>
      </c>
      <c r="E117" s="68" cm="1">
        <f t="array" ref="E117">B117*D117</f>
        <v>1800</v>
      </c>
      <c r="F117" s="45"/>
      <c r="G117" s="46"/>
      <c r="H117" s="63"/>
      <c r="I117" s="39"/>
      <c r="J117" s="39"/>
      <c r="K117" s="39"/>
      <c r="L117" s="45"/>
      <c r="M117" s="45"/>
      <c r="N117" s="45"/>
      <c r="O117" s="45"/>
    </row>
    <row r="118" ht="14" customHeight="1">
      <c r="A118" t="s" s="69">
        <v>36</v>
      </c>
      <c r="B118" s="70"/>
      <c r="C118" s="71"/>
      <c r="D118" s="72"/>
      <c r="E118" s="72"/>
      <c r="F118" s="61"/>
      <c r="G118" s="62"/>
      <c r="H118" s="39"/>
      <c r="I118" s="39"/>
      <c r="J118" s="39"/>
      <c r="K118" s="39"/>
      <c r="L118" s="61"/>
      <c r="M118" s="61"/>
      <c r="N118" s="61"/>
      <c r="O118" s="61"/>
    </row>
    <row r="119" ht="14" customHeight="1">
      <c r="A119" t="s" s="144">
        <v>125</v>
      </c>
      <c r="B119" s="74"/>
      <c r="C119" s="145"/>
      <c r="D119" s="76"/>
      <c r="E119" s="76"/>
      <c r="F119" s="61"/>
      <c r="G119" s="62"/>
      <c r="H119" s="39"/>
      <c r="I119" s="39"/>
      <c r="J119" s="39"/>
      <c r="K119" s="39"/>
      <c r="L119" s="61"/>
      <c r="M119" s="61"/>
      <c r="N119" s="61"/>
      <c r="O119" s="61"/>
    </row>
    <row r="120" ht="14" customHeight="1">
      <c r="A120" t="s" s="146">
        <v>126</v>
      </c>
      <c r="B120" s="147" cm="1">
        <f t="array" ref="B120">-(944-828)/32</f>
        <v>-3.625</v>
      </c>
      <c r="C120" t="s" s="148">
        <v>19</v>
      </c>
      <c r="D120" s="149">
        <v>327.39</v>
      </c>
      <c r="E120" s="149" cm="1">
        <f t="array" ref="E120">B120*D120</f>
        <v>-1186.78875</v>
      </c>
      <c r="F120" s="61"/>
      <c r="G120" s="62"/>
      <c r="H120" s="39"/>
      <c r="I120" s="39"/>
      <c r="J120" s="39"/>
      <c r="K120" s="39"/>
      <c r="L120" s="61"/>
      <c r="M120" s="61"/>
      <c r="N120" s="61"/>
      <c r="O120" s="61"/>
    </row>
    <row r="121" ht="14" customHeight="1">
      <c r="A121" t="s" s="146">
        <v>115</v>
      </c>
      <c r="B121" s="147">
        <v>-40</v>
      </c>
      <c r="C121" t="s" s="148">
        <v>19</v>
      </c>
      <c r="D121" s="149">
        <v>59.85</v>
      </c>
      <c r="E121" s="149" cm="1">
        <f t="array" ref="E121">B121*D121</f>
        <v>-2394</v>
      </c>
      <c r="F121" s="61"/>
      <c r="G121" s="62"/>
      <c r="H121" s="39"/>
      <c r="I121" s="39"/>
      <c r="J121" s="39"/>
      <c r="K121" s="39"/>
      <c r="L121" s="61"/>
      <c r="M121" s="61"/>
      <c r="N121" s="61"/>
      <c r="O121" s="61"/>
    </row>
    <row r="122" ht="14" customHeight="1">
      <c r="A122" t="s" s="146">
        <v>116</v>
      </c>
      <c r="B122" s="147">
        <v>-40</v>
      </c>
      <c r="C122" t="s" s="148">
        <v>19</v>
      </c>
      <c r="D122" s="149">
        <v>48.64</v>
      </c>
      <c r="E122" s="149" cm="1">
        <f t="array" ref="E122">B122*D122</f>
        <v>-1945.6</v>
      </c>
      <c r="F122" s="61"/>
      <c r="G122" s="62"/>
      <c r="H122" s="39"/>
      <c r="I122" s="39"/>
      <c r="J122" s="39"/>
      <c r="K122" s="39"/>
      <c r="L122" s="61"/>
      <c r="M122" s="61"/>
      <c r="N122" s="61"/>
      <c r="O122" s="61"/>
    </row>
    <row r="123" ht="14" customHeight="1">
      <c r="A123" t="s" s="146">
        <v>118</v>
      </c>
      <c r="B123" s="147">
        <v>-3</v>
      </c>
      <c r="C123" t="s" s="148">
        <v>19</v>
      </c>
      <c r="D123" s="149" cm="1">
        <f t="array" ref="D123">315.43*1.2</f>
        <v>378.516</v>
      </c>
      <c r="E123" s="149" cm="1">
        <f t="array" ref="E123">B123*D123</f>
        <v>-1135.548</v>
      </c>
      <c r="F123" s="61"/>
      <c r="G123" s="62"/>
      <c r="H123" s="39"/>
      <c r="I123" s="39"/>
      <c r="J123" s="39"/>
      <c r="K123" s="39"/>
      <c r="L123" s="61"/>
      <c r="M123" s="61"/>
      <c r="N123" s="61"/>
      <c r="O123" s="61"/>
    </row>
    <row r="124" ht="14" customHeight="1">
      <c r="A124" s="151"/>
      <c r="B124" s="152"/>
      <c r="C124" s="152"/>
      <c r="D124" s="153"/>
      <c r="E124" s="153"/>
      <c r="F124" s="154"/>
      <c r="G124" s="20"/>
      <c r="H124" s="21"/>
      <c r="I124" s="21"/>
      <c r="J124" s="21"/>
      <c r="K124" s="21"/>
      <c r="L124" s="154"/>
      <c r="M124" s="154"/>
      <c r="N124" s="154"/>
      <c r="O124" s="154"/>
    </row>
    <row r="125" ht="14" customHeight="1">
      <c r="A125" t="s" s="22">
        <v>127</v>
      </c>
      <c r="B125" s="23"/>
      <c r="C125" s="24"/>
      <c r="D125" s="25"/>
      <c r="E125" s="25" cm="1">
        <f t="array" ref="E125">SUM(E126:E131)</f>
        <v>60200.5</v>
      </c>
      <c r="F125" s="155"/>
      <c r="G125" s="155"/>
      <c r="H125" s="155"/>
      <c r="I125" s="156"/>
      <c r="J125" s="155"/>
      <c r="K125" s="155"/>
      <c r="L125" s="155"/>
      <c r="M125" s="155"/>
      <c r="N125" s="155"/>
      <c r="O125" s="155"/>
    </row>
    <row r="126" ht="14" customHeight="1">
      <c r="A126" t="s" s="32">
        <v>128</v>
      </c>
      <c r="B126" s="33">
        <v>2135</v>
      </c>
      <c r="C126" t="s" s="34">
        <v>74</v>
      </c>
      <c r="D126" s="35">
        <v>19.8</v>
      </c>
      <c r="E126" s="35" cm="1">
        <f t="array" ref="E126">B126*D126</f>
        <v>42273</v>
      </c>
      <c r="F126" s="155"/>
      <c r="G126" s="155"/>
      <c r="H126" s="155"/>
      <c r="I126" s="156"/>
      <c r="J126" s="155"/>
      <c r="K126" s="155"/>
      <c r="L126" s="155"/>
      <c r="M126" s="155"/>
      <c r="N126" s="155"/>
      <c r="O126" s="155"/>
    </row>
    <row r="127" ht="14" customHeight="1">
      <c r="A127" t="s" s="40">
        <v>129</v>
      </c>
      <c r="B127" s="41">
        <v>35</v>
      </c>
      <c r="C127" t="s" s="42">
        <v>42</v>
      </c>
      <c r="D127" s="44">
        <v>110</v>
      </c>
      <c r="E127" s="44" cm="1">
        <f t="array" ref="E127">B127*D127</f>
        <v>3850</v>
      </c>
      <c r="F127" s="155"/>
      <c r="G127" s="155"/>
      <c r="H127" s="155"/>
      <c r="I127" s="156"/>
      <c r="J127" s="155"/>
      <c r="K127" s="155"/>
      <c r="L127" s="155"/>
      <c r="M127" s="155"/>
      <c r="N127" s="155"/>
      <c r="O127" s="155"/>
    </row>
    <row r="128" ht="14" customHeight="1">
      <c r="A128" t="s" s="40">
        <v>79</v>
      </c>
      <c r="B128" s="41">
        <v>45</v>
      </c>
      <c r="C128" t="s" s="42">
        <v>28</v>
      </c>
      <c r="D128" s="44">
        <v>25</v>
      </c>
      <c r="E128" s="44" cm="1">
        <f t="array" ref="E128">B128*D128</f>
        <v>1125</v>
      </c>
      <c r="F128" s="155"/>
      <c r="G128" s="155"/>
      <c r="H128" s="155"/>
      <c r="I128" s="156"/>
      <c r="J128" s="155"/>
      <c r="K128" s="155"/>
      <c r="L128" s="155"/>
      <c r="M128" s="155"/>
      <c r="N128" s="155"/>
      <c r="O128" s="155"/>
    </row>
    <row r="129" ht="14" customHeight="1">
      <c r="A129" t="s" s="40">
        <v>32</v>
      </c>
      <c r="B129" s="41">
        <v>2</v>
      </c>
      <c r="C129" t="s" s="42">
        <v>19</v>
      </c>
      <c r="D129" s="44" cm="1">
        <f t="array" ref="D129">550*1.1</f>
        <v>605</v>
      </c>
      <c r="E129" s="44" cm="1">
        <f t="array" ref="E129">D129*B129</f>
        <v>1210</v>
      </c>
      <c r="F129" s="155"/>
      <c r="G129" s="155"/>
      <c r="H129" s="155"/>
      <c r="I129" s="156"/>
      <c r="J129" s="155"/>
      <c r="K129" s="155"/>
      <c r="L129" s="155"/>
      <c r="M129" s="155"/>
      <c r="N129" s="155"/>
      <c r="O129" s="155"/>
    </row>
    <row r="130" ht="14" customHeight="1">
      <c r="A130" t="s" s="138">
        <v>84</v>
      </c>
      <c r="B130" s="139" cm="1">
        <f t="array" ref="B130">B126</f>
        <v>2135</v>
      </c>
      <c r="C130" t="s" s="100">
        <v>74</v>
      </c>
      <c r="D130" s="101">
        <v>5.5</v>
      </c>
      <c r="E130" s="101" cm="1">
        <f t="array" ref="E130">D130*B130</f>
        <v>11742.5</v>
      </c>
      <c r="F130" s="155"/>
      <c r="G130" s="155"/>
      <c r="H130" s="155"/>
      <c r="I130" s="156"/>
      <c r="J130" s="155"/>
      <c r="K130" s="155"/>
      <c r="L130" s="155"/>
      <c r="M130" s="155"/>
      <c r="N130" s="155"/>
      <c r="O130" s="155"/>
    </row>
    <row r="131" ht="14" customHeight="1">
      <c r="A131" s="142"/>
      <c r="B131" s="157"/>
      <c r="C131" s="133"/>
      <c r="D131" s="155"/>
      <c r="E131" s="155"/>
      <c r="F131" s="155"/>
      <c r="G131" s="155"/>
      <c r="H131" s="155"/>
      <c r="I131" s="156"/>
      <c r="J131" s="155"/>
      <c r="K131" s="155"/>
      <c r="L131" s="155"/>
      <c r="M131" s="155"/>
      <c r="N131" s="155"/>
      <c r="O131" s="155"/>
    </row>
    <row r="132" ht="14" customHeight="1">
      <c r="A132" t="s" s="22">
        <v>130</v>
      </c>
      <c r="B132" s="23"/>
      <c r="C132" s="24"/>
      <c r="D132" s="25"/>
      <c r="E132" s="25" cm="1">
        <f t="array" ref="E132">SUM(E133:E136)</f>
        <v>28268.25</v>
      </c>
      <c r="F132" s="155"/>
      <c r="G132" s="155"/>
      <c r="H132" s="155"/>
      <c r="I132" s="156"/>
      <c r="J132" s="155"/>
      <c r="K132" s="155"/>
      <c r="L132" s="155"/>
      <c r="M132" s="155"/>
      <c r="N132" s="155"/>
      <c r="O132" s="155"/>
    </row>
    <row r="133" ht="14" customHeight="1">
      <c r="A133" t="s" s="32">
        <v>131</v>
      </c>
      <c r="B133" s="33">
        <v>300</v>
      </c>
      <c r="C133" t="s" s="34">
        <v>28</v>
      </c>
      <c r="D133" s="35">
        <v>5</v>
      </c>
      <c r="E133" s="35" cm="1">
        <f t="array" ref="E133">D133*B133</f>
        <v>1500</v>
      </c>
      <c r="F133" s="155"/>
      <c r="G133" s="155"/>
      <c r="H133" s="155"/>
      <c r="I133" s="156"/>
      <c r="J133" s="155"/>
      <c r="K133" s="155"/>
      <c r="L133" s="155"/>
      <c r="M133" s="155"/>
      <c r="N133" s="155"/>
      <c r="O133" s="155"/>
    </row>
    <row r="134" ht="14" customHeight="1">
      <c r="A134" t="s" s="40">
        <v>132</v>
      </c>
      <c r="B134" s="41">
        <v>335</v>
      </c>
      <c r="C134" t="s" s="42">
        <v>28</v>
      </c>
      <c r="D134" s="44" cm="1">
        <f t="array" ref="D134">(58)*1.1</f>
        <v>63.8</v>
      </c>
      <c r="E134" s="44" cm="1">
        <f t="array" ref="E134">D134*B134</f>
        <v>21373</v>
      </c>
      <c r="F134" s="155"/>
      <c r="G134" s="155"/>
      <c r="H134" s="155"/>
      <c r="I134" s="156"/>
      <c r="J134" s="155"/>
      <c r="K134" s="155"/>
      <c r="L134" s="155"/>
      <c r="M134" s="155"/>
      <c r="N134" s="155"/>
      <c r="O134" s="155"/>
    </row>
    <row r="135" ht="14" customHeight="1">
      <c r="A135" t="s" s="40">
        <v>133</v>
      </c>
      <c r="B135" s="41">
        <v>5</v>
      </c>
      <c r="C135" t="s" s="42">
        <v>19</v>
      </c>
      <c r="D135" s="44">
        <v>600</v>
      </c>
      <c r="E135" s="44" cm="1">
        <f t="array" ref="E135">D135*B135</f>
        <v>3000</v>
      </c>
      <c r="F135" s="155"/>
      <c r="G135" s="155"/>
      <c r="H135" s="155"/>
      <c r="I135" s="156"/>
      <c r="J135" s="155"/>
      <c r="K135" s="155"/>
      <c r="L135" s="155"/>
      <c r="M135" s="155"/>
      <c r="N135" s="155"/>
      <c r="O135" s="155"/>
    </row>
    <row r="136" ht="14" customHeight="1">
      <c r="A136" t="s" s="65">
        <v>134</v>
      </c>
      <c r="B136" s="66" cm="1">
        <f t="array" ref="B136">SUM(B134:B134)</f>
        <v>335</v>
      </c>
      <c r="C136" t="s" s="67">
        <v>28</v>
      </c>
      <c r="D136" s="68" cm="1">
        <f t="array" ref="D136">6.5*1.1</f>
        <v>7.15</v>
      </c>
      <c r="E136" s="68" cm="1">
        <f t="array" ref="E136">D136*B136</f>
        <v>2395.25</v>
      </c>
      <c r="F136" s="155"/>
      <c r="G136" s="155"/>
      <c r="H136" s="155"/>
      <c r="I136" s="156"/>
      <c r="J136" s="155"/>
      <c r="K136" s="155"/>
      <c r="L136" s="155"/>
      <c r="M136" s="155"/>
      <c r="N136" s="155"/>
      <c r="O136" s="155"/>
    </row>
    <row r="137" ht="14" customHeight="1">
      <c r="A137" t="s" s="69">
        <v>36</v>
      </c>
      <c r="B137" s="70"/>
      <c r="C137" s="71"/>
      <c r="D137" s="72"/>
      <c r="E137" s="72"/>
      <c r="F137" s="155"/>
      <c r="G137" s="155"/>
      <c r="H137" s="155"/>
      <c r="I137" s="156"/>
      <c r="J137" s="155"/>
      <c r="K137" s="155"/>
      <c r="L137" s="155"/>
      <c r="M137" s="155"/>
      <c r="N137" s="155"/>
      <c r="O137" s="155"/>
    </row>
    <row r="138" ht="14" customHeight="1">
      <c r="A138" t="s" s="158">
        <v>135</v>
      </c>
      <c r="B138" s="159">
        <v>1</v>
      </c>
      <c r="C138" t="s" s="113">
        <v>19</v>
      </c>
      <c r="D138" s="114" cm="1">
        <f t="array" ref="D138">-(E194+(B194*D136))</f>
        <v>-10254.75</v>
      </c>
      <c r="E138" s="114" cm="1">
        <f t="array" ref="E138">B138*D138</f>
        <v>-10254.75</v>
      </c>
      <c r="F138" s="155"/>
      <c r="G138" s="155"/>
      <c r="H138" s="155"/>
      <c r="I138" s="156"/>
      <c r="J138" s="155"/>
      <c r="K138" s="155"/>
      <c r="L138" s="155"/>
      <c r="M138" s="155"/>
      <c r="N138" s="155"/>
      <c r="O138" s="155"/>
    </row>
    <row r="139" ht="14" customHeight="1">
      <c r="A139" s="142"/>
      <c r="B139" s="157"/>
      <c r="C139" s="133"/>
      <c r="D139" s="155"/>
      <c r="E139" s="155"/>
      <c r="F139" s="160"/>
      <c r="G139" s="160"/>
      <c r="H139" s="160"/>
      <c r="I139" s="161"/>
      <c r="J139" s="160"/>
      <c r="K139" s="160"/>
      <c r="L139" s="160"/>
      <c r="M139" s="160"/>
      <c r="N139" s="160"/>
      <c r="O139" s="160"/>
    </row>
    <row r="140" ht="14" customHeight="1">
      <c r="A140" t="s" s="22">
        <v>136</v>
      </c>
      <c r="B140" s="23"/>
      <c r="C140" s="24"/>
      <c r="D140" s="25"/>
      <c r="E140" s="25" cm="1">
        <f t="array" ref="E140">SUM(E141:E145)</f>
        <v>27284</v>
      </c>
      <c r="F140" s="162">
        <v>38777</v>
      </c>
      <c r="G140" s="163"/>
      <c r="H140" s="164"/>
      <c r="I140" s="165"/>
      <c r="J140" s="166"/>
      <c r="K140" s="166"/>
      <c r="L140" s="167"/>
      <c r="M140" s="167"/>
      <c r="N140" s="167"/>
      <c r="O140" s="167"/>
    </row>
    <row r="141" ht="14" customHeight="1">
      <c r="A141" t="s" s="32">
        <v>137</v>
      </c>
      <c r="B141" s="33">
        <v>20</v>
      </c>
      <c r="C141" t="s" s="34">
        <v>19</v>
      </c>
      <c r="D141" s="35" cm="1">
        <f t="array" ref="D141">157+257</f>
        <v>414</v>
      </c>
      <c r="E141" s="35" cm="1">
        <f t="array" ref="E141">B141*D141</f>
        <v>8280</v>
      </c>
      <c r="F141" s="36"/>
      <c r="G141" s="168"/>
      <c r="H141" s="122"/>
      <c r="I141" s="39"/>
      <c r="J141" s="121"/>
      <c r="K141" s="122"/>
      <c r="L141" s="36"/>
      <c r="M141" s="36"/>
      <c r="N141" s="36"/>
      <c r="O141" s="36"/>
    </row>
    <row r="142" ht="14" customHeight="1">
      <c r="A142" t="s" s="40">
        <v>138</v>
      </c>
      <c r="B142" s="41">
        <v>12</v>
      </c>
      <c r="C142" t="s" s="42">
        <v>19</v>
      </c>
      <c r="D142" s="44" cm="1">
        <f t="array" ref="D142">196+257</f>
        <v>453</v>
      </c>
      <c r="E142" s="44" cm="1">
        <f t="array" ref="E142">B142*D142</f>
        <v>5436</v>
      </c>
      <c r="F142" s="45"/>
      <c r="G142" s="169"/>
      <c r="H142" s="135"/>
      <c r="I142" s="39"/>
      <c r="J142" s="50"/>
      <c r="K142" s="135"/>
      <c r="L142" s="45"/>
      <c r="M142" s="45"/>
      <c r="N142" s="45"/>
      <c r="O142" s="45"/>
    </row>
    <row r="143" ht="14" customHeight="1">
      <c r="A143" t="s" s="40">
        <v>139</v>
      </c>
      <c r="B143" s="41">
        <v>16</v>
      </c>
      <c r="C143" t="s" s="42">
        <v>19</v>
      </c>
      <c r="D143" s="44" cm="1">
        <f t="array" ref="D143">196+257</f>
        <v>453</v>
      </c>
      <c r="E143" s="44" cm="1">
        <f t="array" ref="E143">B143*D143</f>
        <v>7248</v>
      </c>
      <c r="F143" s="45"/>
      <c r="G143" s="169"/>
      <c r="H143" s="135"/>
      <c r="I143" s="39"/>
      <c r="J143" s="50"/>
      <c r="K143" s="135"/>
      <c r="L143" s="45"/>
      <c r="M143" s="45"/>
      <c r="N143" s="45"/>
      <c r="O143" s="45"/>
    </row>
    <row r="144" ht="14" customHeight="1">
      <c r="A144" t="s" s="40">
        <v>140</v>
      </c>
      <c r="B144" s="41">
        <v>8</v>
      </c>
      <c r="C144" t="s" s="42">
        <v>19</v>
      </c>
      <c r="D144" s="44">
        <v>550</v>
      </c>
      <c r="E144" s="44" cm="1">
        <f t="array" ref="E144">B144*D144</f>
        <v>4400</v>
      </c>
      <c r="F144" s="45"/>
      <c r="G144" s="169"/>
      <c r="H144" s="135"/>
      <c r="I144" s="39"/>
      <c r="J144" s="50"/>
      <c r="K144" s="135"/>
      <c r="L144" s="45"/>
      <c r="M144" s="45"/>
      <c r="N144" s="45"/>
      <c r="O144" s="45"/>
    </row>
    <row r="145" ht="14" customHeight="1">
      <c r="A145" t="s" s="65">
        <v>141</v>
      </c>
      <c r="B145" s="66">
        <v>1</v>
      </c>
      <c r="C145" t="s" s="67">
        <v>19</v>
      </c>
      <c r="D145" s="68" cm="1">
        <f t="array" ref="D145">1600*1.2</f>
        <v>1920</v>
      </c>
      <c r="E145" s="68" cm="1">
        <f t="array" ref="E145">B145*D145</f>
        <v>1920</v>
      </c>
      <c r="F145" s="140"/>
      <c r="G145" s="170"/>
      <c r="H145" s="19"/>
      <c r="I145" s="21"/>
      <c r="J145" s="130"/>
      <c r="K145" s="19"/>
      <c r="L145" s="140"/>
      <c r="M145" s="140"/>
      <c r="N145" s="140"/>
      <c r="O145" s="140"/>
    </row>
    <row r="146" ht="14" customHeight="1">
      <c r="A146" t="s" s="69">
        <v>36</v>
      </c>
      <c r="B146" s="70"/>
      <c r="C146" s="71"/>
      <c r="D146" s="72"/>
      <c r="E146" s="72"/>
      <c r="F146" s="155"/>
      <c r="G146" s="155"/>
      <c r="H146" s="155"/>
      <c r="I146" s="156"/>
      <c r="J146" s="155"/>
      <c r="K146" s="155"/>
      <c r="L146" s="155"/>
      <c r="M146" s="155"/>
      <c r="N146" s="155"/>
      <c r="O146" s="155"/>
    </row>
    <row r="147" ht="14" customHeight="1">
      <c r="A147" t="s" s="158">
        <v>142</v>
      </c>
      <c r="B147" s="159">
        <v>1</v>
      </c>
      <c r="C147" t="s" s="113">
        <v>19</v>
      </c>
      <c r="D147" s="114" cm="1">
        <f t="array" ref="D147">-E140*0.33</f>
        <v>-9003.719999999999</v>
      </c>
      <c r="E147" s="114" cm="1">
        <f t="array" ref="E147">B147*D147</f>
        <v>-9003.719999999999</v>
      </c>
      <c r="F147" s="155"/>
      <c r="G147" s="155"/>
      <c r="H147" s="155"/>
      <c r="I147" s="156"/>
      <c r="J147" s="155"/>
      <c r="K147" s="155"/>
      <c r="L147" s="155"/>
      <c r="M147" s="155"/>
      <c r="N147" s="155"/>
      <c r="O147" s="155"/>
    </row>
    <row r="148" ht="14" customHeight="1">
      <c r="A148" s="142"/>
      <c r="B148" s="157"/>
      <c r="C148" s="133"/>
      <c r="D148" s="155"/>
      <c r="E148" s="155"/>
      <c r="F148" s="155"/>
      <c r="G148" s="155"/>
      <c r="H148" s="155"/>
      <c r="I148" s="156"/>
      <c r="J148" s="155"/>
      <c r="K148" s="155"/>
      <c r="L148" s="155"/>
      <c r="M148" s="155"/>
      <c r="N148" s="155"/>
      <c r="O148" s="155"/>
    </row>
    <row r="149" ht="14" customHeight="1">
      <c r="A149" t="s" s="22">
        <v>143</v>
      </c>
      <c r="B149" s="23"/>
      <c r="C149" s="24"/>
      <c r="D149" s="25"/>
      <c r="E149" s="25" cm="1">
        <f t="array" ref="E149">SUM(E150:E153)</f>
        <v>29350</v>
      </c>
      <c r="F149" s="155"/>
      <c r="G149" s="155"/>
      <c r="H149" s="155"/>
      <c r="I149" s="156"/>
      <c r="J149" s="155"/>
      <c r="K149" s="155"/>
      <c r="L149" s="155"/>
      <c r="M149" s="31"/>
      <c r="N149" s="155"/>
      <c r="O149" s="155"/>
    </row>
    <row r="150" ht="14" customHeight="1">
      <c r="A150" t="s" s="32">
        <v>144</v>
      </c>
      <c r="B150" s="78">
        <v>3</v>
      </c>
      <c r="C150" t="s" s="79">
        <v>19</v>
      </c>
      <c r="D150" s="80">
        <v>7000</v>
      </c>
      <c r="E150" s="35" cm="1">
        <f t="array" ref="E150">B150*D150</f>
        <v>21000</v>
      </c>
      <c r="F150" s="155"/>
      <c r="G150" s="155"/>
      <c r="H150" s="155"/>
      <c r="I150" s="156"/>
      <c r="J150" s="155"/>
      <c r="K150" s="155"/>
      <c r="L150" s="155"/>
      <c r="M150" s="36"/>
      <c r="N150" s="155"/>
      <c r="O150" s="155"/>
    </row>
    <row r="151" ht="14" customHeight="1">
      <c r="A151" t="s" s="40">
        <v>145</v>
      </c>
      <c r="B151" s="123">
        <v>1</v>
      </c>
      <c r="C151" t="s" s="86">
        <v>19</v>
      </c>
      <c r="D151" s="87">
        <v>2500</v>
      </c>
      <c r="E151" s="44" cm="1">
        <f t="array" ref="E151">B151*D151</f>
        <v>2500</v>
      </c>
      <c r="F151" s="155"/>
      <c r="G151" s="155"/>
      <c r="H151" s="155"/>
      <c r="I151" s="156"/>
      <c r="J151" s="155"/>
      <c r="K151" s="155"/>
      <c r="L151" s="155"/>
      <c r="M151" s="45"/>
      <c r="N151" s="155"/>
      <c r="O151" s="155"/>
    </row>
    <row r="152" ht="14" customHeight="1">
      <c r="A152" t="s" s="40">
        <v>146</v>
      </c>
      <c r="B152" s="123">
        <v>3</v>
      </c>
      <c r="C152" t="s" s="86">
        <v>19</v>
      </c>
      <c r="D152" s="87">
        <v>1200</v>
      </c>
      <c r="E152" s="44" cm="1">
        <f t="array" ref="E152">B152*D152</f>
        <v>3600</v>
      </c>
      <c r="F152" s="155"/>
      <c r="G152" s="155"/>
      <c r="H152" s="155"/>
      <c r="I152" s="156"/>
      <c r="J152" s="155"/>
      <c r="K152" s="155"/>
      <c r="L152" s="155"/>
      <c r="M152" s="45"/>
      <c r="N152" s="155"/>
      <c r="O152" s="155"/>
    </row>
    <row r="153" ht="14" customHeight="1">
      <c r="A153" t="s" s="65">
        <v>106</v>
      </c>
      <c r="B153" s="171">
        <v>3</v>
      </c>
      <c r="C153" t="s" s="172">
        <v>19</v>
      </c>
      <c r="D153" s="173">
        <v>750</v>
      </c>
      <c r="E153" s="68" cm="1">
        <f t="array" ref="E153">B153*D153</f>
        <v>2250</v>
      </c>
      <c r="F153" s="155"/>
      <c r="G153" s="155"/>
      <c r="H153" s="155"/>
      <c r="I153" s="156"/>
      <c r="J153" s="155"/>
      <c r="K153" s="155"/>
      <c r="L153" s="155"/>
      <c r="M153" s="140"/>
      <c r="N153" s="155"/>
      <c r="O153" s="155"/>
    </row>
    <row r="154" ht="14" customHeight="1">
      <c r="A154" t="s" s="69">
        <v>36</v>
      </c>
      <c r="B154" s="70"/>
      <c r="C154" s="71"/>
      <c r="D154" s="72"/>
      <c r="E154" s="72"/>
      <c r="F154" s="155"/>
      <c r="G154" s="155"/>
      <c r="H154" s="155"/>
      <c r="I154" s="156"/>
      <c r="J154" s="155"/>
      <c r="K154" s="155"/>
      <c r="L154" s="155"/>
      <c r="M154" s="155"/>
      <c r="N154" s="155"/>
      <c r="O154" s="155"/>
    </row>
    <row r="155" ht="14" customHeight="1">
      <c r="A155" t="s" s="158">
        <v>147</v>
      </c>
      <c r="B155" s="159">
        <v>-6</v>
      </c>
      <c r="C155" t="s" s="113">
        <v>19</v>
      </c>
      <c r="D155" s="114" cm="1">
        <f t="array" ref="D155">D152</f>
        <v>1200</v>
      </c>
      <c r="E155" s="114" cm="1">
        <f t="array" ref="E155">B155*D155</f>
        <v>-7200</v>
      </c>
      <c r="F155" s="155"/>
      <c r="G155" s="155"/>
      <c r="H155" s="155"/>
      <c r="I155" s="156"/>
      <c r="J155" s="155"/>
      <c r="K155" s="155"/>
      <c r="L155" s="155"/>
      <c r="M155" s="155"/>
      <c r="N155" s="155"/>
      <c r="O155" s="155"/>
    </row>
    <row r="156" ht="14" customHeight="1">
      <c r="A156" s="142"/>
      <c r="B156" s="157"/>
      <c r="C156" s="133"/>
      <c r="D156" s="155"/>
      <c r="E156" s="155"/>
      <c r="F156" s="155"/>
      <c r="G156" s="155"/>
      <c r="H156" s="155"/>
      <c r="I156" s="156"/>
      <c r="J156" s="155"/>
      <c r="K156" s="155"/>
      <c r="L156" s="155"/>
      <c r="M156" s="155"/>
      <c r="N156" s="155"/>
      <c r="O156" s="155"/>
    </row>
    <row r="157" ht="14" customHeight="1">
      <c r="A157" s="142"/>
      <c r="B157" s="157"/>
      <c r="C157" s="133"/>
      <c r="D157" s="155"/>
      <c r="E157" s="155"/>
      <c r="F157" s="155"/>
      <c r="G157" s="155"/>
      <c r="H157" s="155"/>
      <c r="I157" s="156"/>
      <c r="J157" s="155"/>
      <c r="K157" s="155"/>
      <c r="L157" s="155"/>
      <c r="M157" s="155"/>
      <c r="N157" s="155"/>
      <c r="O157" s="155"/>
    </row>
    <row r="158" ht="14" customHeight="1">
      <c r="A158" t="s" s="22">
        <v>148</v>
      </c>
      <c r="B158" s="23"/>
      <c r="C158" s="24"/>
      <c r="D158" s="25"/>
      <c r="E158" s="25" cm="1">
        <f t="array" ref="E158">SUM(E159:E161)</f>
        <v>25500</v>
      </c>
      <c r="F158" s="155"/>
      <c r="G158" s="155"/>
      <c r="H158" s="155"/>
      <c r="I158" s="156"/>
      <c r="J158" s="155"/>
      <c r="K158" s="155"/>
      <c r="L158" s="155"/>
      <c r="M158" s="155"/>
      <c r="N158" s="155"/>
      <c r="O158" s="155"/>
    </row>
    <row r="159" ht="14" customHeight="1">
      <c r="A159" t="s" s="32">
        <v>149</v>
      </c>
      <c r="B159" s="78">
        <v>1</v>
      </c>
      <c r="C159" t="s" s="79">
        <v>19</v>
      </c>
      <c r="D159" s="80">
        <v>10000</v>
      </c>
      <c r="E159" s="35" cm="1">
        <f t="array" ref="E159">B159*D159</f>
        <v>10000</v>
      </c>
      <c r="F159" s="155"/>
      <c r="G159" s="155"/>
      <c r="H159" s="155"/>
      <c r="I159" s="156"/>
      <c r="J159" s="155"/>
      <c r="K159" s="155"/>
      <c r="L159" s="155"/>
      <c r="M159" s="160"/>
      <c r="N159" s="155"/>
      <c r="O159" s="155"/>
    </row>
    <row r="160" ht="14" customHeight="1">
      <c r="A160" t="s" s="138">
        <v>150</v>
      </c>
      <c r="B160" s="123">
        <v>1</v>
      </c>
      <c r="C160" t="s" s="86">
        <v>19</v>
      </c>
      <c r="D160" s="87">
        <v>10000</v>
      </c>
      <c r="E160" s="101" cm="1">
        <f t="array" ref="E160">B160*D160</f>
        <v>10000</v>
      </c>
      <c r="F160" s="155"/>
      <c r="G160" s="155"/>
      <c r="H160" s="155"/>
      <c r="I160" s="156"/>
      <c r="J160" s="155"/>
      <c r="K160" s="155"/>
      <c r="L160" s="155"/>
      <c r="M160" s="174"/>
      <c r="N160" s="155"/>
      <c r="O160" s="155"/>
    </row>
    <row r="161" ht="14" customHeight="1">
      <c r="A161" t="s" s="175">
        <v>151</v>
      </c>
      <c r="B161" s="171">
        <v>1</v>
      </c>
      <c r="C161" t="s" s="172">
        <v>19</v>
      </c>
      <c r="D161" s="173">
        <v>5500</v>
      </c>
      <c r="E161" s="173" cm="1">
        <f t="array" ref="E161">B161*D161</f>
        <v>5500</v>
      </c>
      <c r="F161" s="160"/>
      <c r="G161" s="160"/>
      <c r="H161" s="160"/>
      <c r="I161" s="161"/>
      <c r="J161" s="160"/>
      <c r="K161" s="160"/>
      <c r="L161" s="160"/>
      <c r="M161" s="160"/>
      <c r="N161" s="160"/>
      <c r="O161" s="160"/>
    </row>
    <row r="162" ht="14" customHeight="1">
      <c r="A162" t="s" s="69">
        <v>36</v>
      </c>
      <c r="B162" s="70"/>
      <c r="C162" s="71"/>
      <c r="D162" s="72"/>
      <c r="E162" s="72"/>
      <c r="F162" s="176"/>
      <c r="G162" s="176"/>
      <c r="H162" s="176"/>
      <c r="I162" s="177"/>
      <c r="J162" s="176"/>
      <c r="K162" s="178"/>
      <c r="L162" s="176"/>
      <c r="M162" s="176"/>
      <c r="N162" s="176"/>
      <c r="O162" s="176"/>
    </row>
    <row r="163" ht="14" customHeight="1">
      <c r="A163" t="s" s="158">
        <v>152</v>
      </c>
      <c r="B163" s="159">
        <v>-1</v>
      </c>
      <c r="C163" t="s" s="113">
        <v>19</v>
      </c>
      <c r="D163" s="114" cm="1">
        <f t="array" ref="D163">D160</f>
        <v>10000</v>
      </c>
      <c r="E163" s="114" cm="1">
        <f t="array" ref="E163">B163*D163</f>
        <v>-10000</v>
      </c>
      <c r="F163" s="155"/>
      <c r="G163" s="155"/>
      <c r="H163" s="155"/>
      <c r="I163" s="179"/>
      <c r="J163" s="155"/>
      <c r="K163" s="64"/>
      <c r="L163" s="155"/>
      <c r="M163" s="155"/>
      <c r="N163" s="155"/>
      <c r="O163" s="155"/>
    </row>
    <row r="164" ht="14" customHeight="1">
      <c r="A164" s="180"/>
      <c r="B164" s="181"/>
      <c r="C164" s="182"/>
      <c r="D164" s="183"/>
      <c r="E164" s="184"/>
      <c r="F164" s="184"/>
      <c r="G164" s="184"/>
      <c r="H164" s="185"/>
      <c r="I164" s="186"/>
      <c r="J164" s="187"/>
      <c r="K164" s="188"/>
      <c r="L164" s="184"/>
      <c r="M164" s="184"/>
      <c r="N164" s="184"/>
      <c r="O164" s="184"/>
    </row>
    <row r="165" ht="14" customHeight="1">
      <c r="A165" t="s" s="51">
        <v>153</v>
      </c>
      <c r="B165" s="52"/>
      <c r="C165" s="24"/>
      <c r="D165" s="25"/>
      <c r="E165" s="25" cm="1">
        <f t="array" ref="E165">SUM(E166:E170)</f>
        <v>24055.24</v>
      </c>
      <c r="F165" s="31"/>
      <c r="G165" s="27"/>
      <c r="H165" s="29"/>
      <c r="I165" s="29"/>
      <c r="J165" s="39"/>
      <c r="K165" s="39"/>
      <c r="L165" s="31"/>
      <c r="M165" s="31"/>
      <c r="N165" s="31"/>
      <c r="O165" s="31"/>
    </row>
    <row r="166" ht="14" customHeight="1">
      <c r="A166" t="s" s="32">
        <v>154</v>
      </c>
      <c r="B166" s="33">
        <v>1</v>
      </c>
      <c r="C166" t="s" s="34">
        <v>19</v>
      </c>
      <c r="D166" s="35" cm="1">
        <f t="array" ref="D166">15615+497.76</f>
        <v>16112.76</v>
      </c>
      <c r="E166" s="35" cm="1">
        <f t="array" ref="E166">B166*D166</f>
        <v>16112.76</v>
      </c>
      <c r="F166" s="36"/>
      <c r="G166" s="168"/>
      <c r="H166" s="39"/>
      <c r="I166" s="39"/>
      <c r="J166" s="39"/>
      <c r="K166" s="39"/>
      <c r="L166" s="81"/>
      <c r="M166" s="36"/>
      <c r="N166" s="36"/>
      <c r="O166" s="36"/>
    </row>
    <row r="167" ht="14" customHeight="1">
      <c r="A167" t="s" s="40">
        <v>155</v>
      </c>
      <c r="B167" s="41">
        <v>1</v>
      </c>
      <c r="C167" t="s" s="42">
        <v>19</v>
      </c>
      <c r="D167" s="44">
        <v>902.48</v>
      </c>
      <c r="E167" s="44" cm="1">
        <f t="array" ref="E167">B167*D167</f>
        <v>902.48</v>
      </c>
      <c r="F167" s="45"/>
      <c r="G167" s="189"/>
      <c r="H167" s="64"/>
      <c r="I167" s="64"/>
      <c r="J167" s="64"/>
      <c r="K167" s="64"/>
      <c r="L167" s="190"/>
      <c r="M167" s="45"/>
      <c r="N167" s="45"/>
      <c r="O167" s="45"/>
    </row>
    <row r="168" ht="14" customHeight="1">
      <c r="A168" t="s" s="40">
        <v>156</v>
      </c>
      <c r="B168" s="41">
        <v>1</v>
      </c>
      <c r="C168" t="s" s="42">
        <v>19</v>
      </c>
      <c r="D168" s="44">
        <v>5840</v>
      </c>
      <c r="E168" s="44" cm="1">
        <f t="array" ref="E168">B168*D168</f>
        <v>5840</v>
      </c>
      <c r="F168" s="45"/>
      <c r="G168" s="189"/>
      <c r="H168" s="64"/>
      <c r="I168" s="64"/>
      <c r="J168" s="64"/>
      <c r="K168" s="64"/>
      <c r="L168" s="190"/>
      <c r="M168" s="45"/>
      <c r="N168" s="45"/>
      <c r="O168" s="45"/>
    </row>
    <row r="169" ht="14" customHeight="1">
      <c r="A169" t="s" s="138">
        <v>157</v>
      </c>
      <c r="B169" s="41">
        <v>1</v>
      </c>
      <c r="C169" t="s" s="100">
        <v>19</v>
      </c>
      <c r="D169" s="101">
        <v>1200</v>
      </c>
      <c r="E169" s="101" cm="1">
        <f t="array" ref="E169">B169*D169</f>
        <v>1200</v>
      </c>
      <c r="F169" s="140"/>
      <c r="G169" s="189"/>
      <c r="H169" s="64"/>
      <c r="I169" s="64"/>
      <c r="J169" s="64"/>
      <c r="K169" s="64"/>
      <c r="L169" s="190"/>
      <c r="M169" s="140"/>
      <c r="N169" s="140"/>
      <c r="O169" s="140"/>
    </row>
    <row r="170" ht="14" customHeight="1">
      <c r="A170" s="191"/>
      <c r="B170" s="192"/>
      <c r="C170" s="193"/>
      <c r="D170" s="194"/>
      <c r="E170" s="194"/>
      <c r="F170" s="190"/>
      <c r="G170" s="195"/>
      <c r="H170" s="196"/>
      <c r="I170" s="196"/>
      <c r="J170" s="64"/>
      <c r="K170" s="64"/>
      <c r="L170" s="190"/>
      <c r="M170" s="190"/>
      <c r="N170" s="190"/>
      <c r="O170" s="190"/>
    </row>
    <row r="171" ht="14" customHeight="1">
      <c r="A171" s="197"/>
      <c r="B171" s="181"/>
      <c r="C171" s="182"/>
      <c r="D171" s="183"/>
      <c r="E171" s="184"/>
      <c r="F171" s="184"/>
      <c r="G171" s="184"/>
      <c r="H171" s="185"/>
      <c r="I171" s="186"/>
      <c r="J171" s="188"/>
      <c r="K171" s="188"/>
      <c r="L171" s="184"/>
      <c r="M171" s="184"/>
      <c r="N171" s="184"/>
      <c r="O171" s="184"/>
    </row>
    <row r="172" ht="14" customHeight="1">
      <c r="A172" s="198"/>
      <c r="B172" s="199"/>
      <c r="C172" s="200"/>
      <c r="D172" t="s" s="201">
        <v>158</v>
      </c>
      <c r="E172" s="202" cm="1">
        <f t="array" ref="E172">E7+E17+E32+E12+E25+E28+E125+E132+E56+E75+E82+E106+E140+E149+E158+E165</f>
        <v>1002014.17</v>
      </c>
      <c r="F172" s="203"/>
      <c r="G172" s="204"/>
      <c r="H172" s="205"/>
      <c r="I172" s="206"/>
      <c r="J172" s="64"/>
      <c r="K172" s="64"/>
      <c r="L172" s="203"/>
      <c r="M172" s="203"/>
      <c r="N172" s="203"/>
      <c r="O172" s="203"/>
    </row>
    <row r="173" ht="14" customHeight="1">
      <c r="A173" s="198"/>
      <c r="B173" s="199"/>
      <c r="C173" s="207"/>
      <c r="D173" t="s" s="208">
        <v>159</v>
      </c>
      <c r="E173" s="209" cm="1">
        <f t="array" ref="E173">E172*0.2</f>
        <v>200402.834</v>
      </c>
      <c r="F173" s="210"/>
      <c r="G173" s="211"/>
      <c r="H173" s="212"/>
      <c r="I173" s="213"/>
      <c r="J173" s="64"/>
      <c r="K173" s="64"/>
      <c r="L173" s="210"/>
      <c r="M173" s="210"/>
      <c r="N173" s="210"/>
      <c r="O173" s="210"/>
    </row>
    <row r="174" ht="14" customHeight="1">
      <c r="A174" s="198"/>
      <c r="B174" s="199"/>
      <c r="C174" s="207"/>
      <c r="D174" t="s" s="208">
        <v>160</v>
      </c>
      <c r="E174" s="214" cm="1">
        <f t="array" ref="E174">E172*1.5%</f>
        <v>15030.21255</v>
      </c>
      <c r="F174" s="45"/>
      <c r="G174" s="46"/>
      <c r="H174" t="s" s="47">
        <v>20</v>
      </c>
      <c r="I174" s="21"/>
      <c r="J174" t="s" s="47">
        <v>21</v>
      </c>
      <c r="K174" t="s" s="124">
        <v>161</v>
      </c>
      <c r="L174" s="106"/>
      <c r="M174" s="132"/>
      <c r="N174" s="132"/>
      <c r="O174" s="132"/>
    </row>
    <row r="175" ht="14" customHeight="1">
      <c r="A175" t="s" s="215">
        <v>162</v>
      </c>
      <c r="B175" s="132"/>
      <c r="C175" s="216"/>
      <c r="D175" s="216"/>
      <c r="E175" s="214" cm="1">
        <f t="array" ref="E175">E172*0.0085</f>
        <v>8517.120445</v>
      </c>
      <c r="F175" s="210"/>
      <c r="G175" s="211"/>
      <c r="H175" s="132"/>
      <c r="I175" s="206"/>
      <c r="J175" s="64"/>
      <c r="K175" s="64"/>
      <c r="L175" s="210"/>
      <c r="M175" s="210"/>
      <c r="N175" s="210"/>
      <c r="O175" s="210"/>
    </row>
    <row r="176" ht="14" customHeight="1">
      <c r="A176" s="217"/>
      <c r="B176" s="218"/>
      <c r="C176" s="219"/>
      <c r="D176" s="220"/>
      <c r="E176" s="221"/>
      <c r="F176" s="221"/>
      <c r="G176" s="222"/>
      <c r="H176" s="223"/>
      <c r="I176" s="206"/>
      <c r="J176" s="64"/>
      <c r="K176" s="64"/>
      <c r="L176" s="221"/>
      <c r="M176" s="221"/>
      <c r="N176" s="221"/>
      <c r="O176" s="221"/>
    </row>
    <row r="177" ht="14" customHeight="1">
      <c r="A177" s="217"/>
      <c r="B177" s="224"/>
      <c r="C177" s="225"/>
      <c r="D177" t="s" s="226">
        <v>163</v>
      </c>
      <c r="E177" s="227" cm="1">
        <f t="array" ref="E177">SUM(E172:E175)</f>
        <v>1225964.336995</v>
      </c>
      <c r="F177" s="227"/>
      <c r="G177" s="228"/>
      <c r="H177" s="229"/>
      <c r="I177" s="206"/>
      <c r="J177" s="64"/>
      <c r="K177" s="64"/>
      <c r="L177" s="227"/>
      <c r="M177" s="227"/>
      <c r="N177" s="227"/>
      <c r="O177" s="227"/>
    </row>
    <row r="178" ht="14" customHeight="1">
      <c r="A178" s="230"/>
      <c r="B178" s="231"/>
      <c r="C178" s="132"/>
      <c r="D178" s="189"/>
      <c r="E178" s="189"/>
      <c r="F178" s="189"/>
      <c r="G178" s="189"/>
      <c r="H178" s="64"/>
      <c r="I178" s="232"/>
      <c r="J178" s="64"/>
      <c r="K178" s="64"/>
      <c r="L178" s="189"/>
      <c r="M178" s="189"/>
      <c r="N178" s="189"/>
      <c r="O178" s="189"/>
    </row>
    <row r="179" ht="14" customHeight="1">
      <c r="A179" s="233"/>
      <c r="B179" s="231"/>
      <c r="C179" s="132"/>
      <c r="D179" t="s" s="208">
        <v>164</v>
      </c>
      <c r="E179" s="210" cm="1">
        <f t="array" ref="E179">(SUM(E22:E23,E53:E54,E96:E104,E118:E123,E137:E139,E146:E147,E154:E155,E162:E163)+E172)*1.2235</f>
        <v>1026261.62037804</v>
      </c>
      <c r="F179" s="189"/>
      <c r="G179" s="189"/>
      <c r="H179" s="64"/>
      <c r="I179" s="64"/>
      <c r="J179" s="64"/>
      <c r="K179" s="64"/>
      <c r="L179" s="189"/>
      <c r="M179" s="189"/>
      <c r="N179" s="189"/>
      <c r="O179" s="189"/>
    </row>
    <row r="180" ht="14" customHeight="1">
      <c r="A180" s="233"/>
      <c r="B180" s="231"/>
      <c r="C180" s="132"/>
      <c r="D180" s="189"/>
      <c r="E180" s="189"/>
      <c r="F180" s="189"/>
      <c r="G180" s="189"/>
      <c r="H180" s="64"/>
      <c r="I180" s="64"/>
      <c r="J180" s="64"/>
      <c r="K180" s="64"/>
      <c r="L180" s="189"/>
      <c r="M180" s="189"/>
      <c r="N180" s="189"/>
      <c r="O180" s="189"/>
    </row>
    <row r="181" ht="14" customHeight="1">
      <c r="A181" s="234"/>
      <c r="B181" s="235"/>
      <c r="C181" s="234"/>
      <c r="D181" t="s" s="236">
        <v>165</v>
      </c>
      <c r="E181" s="237" cm="1">
        <f t="array" ref="E181">E172*0.1</f>
        <v>100201.417</v>
      </c>
      <c r="F181" s="195"/>
      <c r="G181" s="189"/>
      <c r="H181" s="64"/>
      <c r="I181" s="64"/>
      <c r="J181" s="64"/>
      <c r="K181" s="64"/>
      <c r="L181" s="195"/>
      <c r="M181" s="195"/>
      <c r="N181" s="195"/>
      <c r="O181" s="195"/>
    </row>
    <row r="182" ht="14" customHeight="1">
      <c r="A182" s="191"/>
      <c r="B182" s="238"/>
      <c r="C182" s="193"/>
      <c r="D182" s="239"/>
      <c r="E182" s="190"/>
      <c r="F182" s="190"/>
      <c r="G182" s="189"/>
      <c r="H182" s="64"/>
      <c r="I182" s="64"/>
      <c r="J182" s="64"/>
      <c r="K182" s="64"/>
      <c r="L182" s="190"/>
      <c r="M182" s="190"/>
      <c r="N182" s="190"/>
      <c r="O182" s="190"/>
    </row>
    <row r="183" ht="14" customHeight="1">
      <c r="A183" t="s" s="240">
        <v>166</v>
      </c>
      <c r="B183" s="241"/>
      <c r="C183" s="242"/>
      <c r="D183" s="243"/>
      <c r="E183" s="244"/>
      <c r="F183" s="190"/>
      <c r="G183" s="189"/>
      <c r="H183" s="64"/>
      <c r="I183" s="64"/>
      <c r="J183" s="64"/>
      <c r="K183" s="64"/>
      <c r="L183" s="190"/>
      <c r="M183" s="190"/>
      <c r="N183" s="190"/>
      <c r="O183" s="190"/>
    </row>
    <row r="184" ht="14" customHeight="1">
      <c r="A184" s="245"/>
      <c r="B184" s="246"/>
      <c r="C184" s="247"/>
      <c r="D184" s="248"/>
      <c r="E184" s="249"/>
      <c r="F184" s="190"/>
      <c r="G184" s="195"/>
      <c r="H184" s="196"/>
      <c r="I184" s="196"/>
      <c r="J184" s="196"/>
      <c r="K184" s="196"/>
      <c r="L184" s="190"/>
      <c r="M184" s="190"/>
      <c r="N184" s="190"/>
      <c r="O184" s="190"/>
    </row>
    <row r="185" ht="14" customHeight="1">
      <c r="A185" t="s" s="22">
        <v>167</v>
      </c>
      <c r="B185" s="23"/>
      <c r="C185" s="24"/>
      <c r="D185" s="25"/>
      <c r="E185" s="25" cm="1">
        <f t="array" ref="E185">SUM(E186:M191)</f>
        <v>56500</v>
      </c>
      <c r="F185" s="155"/>
      <c r="G185" s="155"/>
      <c r="H185" s="155"/>
      <c r="I185" s="156"/>
      <c r="J185" s="155"/>
      <c r="K185" s="155"/>
      <c r="L185" s="155"/>
      <c r="M185" s="155"/>
      <c r="N185" s="155"/>
      <c r="O185" s="155"/>
    </row>
    <row r="186" ht="14" customHeight="1">
      <c r="A186" t="s" s="32">
        <v>168</v>
      </c>
      <c r="B186" s="33">
        <v>1</v>
      </c>
      <c r="C186" t="s" s="34">
        <v>19</v>
      </c>
      <c r="D186" s="35">
        <v>38000</v>
      </c>
      <c r="E186" s="35" cm="1">
        <f t="array" ref="E186">D186*B186</f>
        <v>38000</v>
      </c>
      <c r="F186" s="155"/>
      <c r="G186" s="155"/>
      <c r="H186" s="155"/>
      <c r="I186" s="156"/>
      <c r="J186" s="155"/>
      <c r="K186" s="155"/>
      <c r="L186" s="155"/>
      <c r="M186" s="155"/>
      <c r="N186" s="155"/>
      <c r="O186" s="155"/>
    </row>
    <row r="187" ht="14" customHeight="1">
      <c r="A187" t="s" s="40">
        <v>169</v>
      </c>
      <c r="B187" s="41">
        <v>1</v>
      </c>
      <c r="C187" t="s" s="42">
        <v>19</v>
      </c>
      <c r="D187" s="44">
        <v>2300</v>
      </c>
      <c r="E187" s="44" cm="1">
        <f t="array" ref="E187">D187*B187</f>
        <v>2300</v>
      </c>
      <c r="F187" s="155"/>
      <c r="G187" s="155"/>
      <c r="H187" s="155"/>
      <c r="I187" s="156"/>
      <c r="J187" s="155"/>
      <c r="K187" s="155"/>
      <c r="L187" s="155"/>
      <c r="M187" s="155"/>
      <c r="N187" s="155"/>
      <c r="O187" s="155"/>
    </row>
    <row r="188" ht="14" customHeight="1">
      <c r="A188" t="s" s="40">
        <v>170</v>
      </c>
      <c r="B188" s="41">
        <v>1</v>
      </c>
      <c r="C188" t="s" s="42">
        <v>19</v>
      </c>
      <c r="D188" s="44">
        <v>5200</v>
      </c>
      <c r="E188" s="44" cm="1">
        <f t="array" ref="E188">D188*B188</f>
        <v>5200</v>
      </c>
      <c r="F188" s="155"/>
      <c r="G188" s="155"/>
      <c r="H188" s="155"/>
      <c r="I188" s="156"/>
      <c r="J188" s="155"/>
      <c r="K188" s="155"/>
      <c r="L188" s="155"/>
      <c r="M188" s="155"/>
      <c r="N188" s="155"/>
      <c r="O188" s="155"/>
    </row>
    <row r="189" ht="14" customHeight="1">
      <c r="A189" t="s" s="40">
        <v>171</v>
      </c>
      <c r="B189" s="41">
        <v>100</v>
      </c>
      <c r="C189" t="s" s="42">
        <v>28</v>
      </c>
      <c r="D189" s="44">
        <v>35</v>
      </c>
      <c r="E189" s="44" cm="1">
        <f t="array" ref="E189">D189*B189</f>
        <v>3500</v>
      </c>
      <c r="F189" s="155"/>
      <c r="G189" s="155"/>
      <c r="H189" s="155"/>
      <c r="I189" s="156"/>
      <c r="J189" s="155"/>
      <c r="K189" s="155"/>
      <c r="L189" s="155"/>
      <c r="M189" s="155"/>
      <c r="N189" s="155"/>
      <c r="O189" s="155"/>
    </row>
    <row r="190" ht="14" customHeight="1">
      <c r="A190" t="s" s="40">
        <v>172</v>
      </c>
      <c r="B190" s="41">
        <v>1</v>
      </c>
      <c r="C190" t="s" s="42">
        <v>19</v>
      </c>
      <c r="D190" s="44">
        <v>7500</v>
      </c>
      <c r="E190" s="44" cm="1">
        <f t="array" ref="E190">D190*B190</f>
        <v>7500</v>
      </c>
      <c r="F190" s="155"/>
      <c r="G190" s="155"/>
      <c r="H190" s="155"/>
      <c r="I190" s="156"/>
      <c r="J190" s="155"/>
      <c r="K190" s="155"/>
      <c r="L190" s="155"/>
      <c r="M190" s="155"/>
      <c r="N190" s="155"/>
      <c r="O190" s="155"/>
    </row>
    <row r="191" ht="14" customHeight="1">
      <c r="A191" t="s" s="40">
        <v>173</v>
      </c>
      <c r="B191" s="41"/>
      <c r="C191" s="49"/>
      <c r="D191" s="44"/>
      <c r="E191" s="44"/>
      <c r="F191" s="155"/>
      <c r="G191" s="155"/>
      <c r="H191" s="155"/>
      <c r="I191" s="156"/>
      <c r="J191" s="155"/>
      <c r="K191" s="155"/>
      <c r="L191" s="155"/>
      <c r="M191" s="155"/>
      <c r="N191" s="155"/>
      <c r="O191" s="155"/>
    </row>
    <row r="192" ht="14" customHeight="1">
      <c r="A192" s="151"/>
      <c r="B192" s="139"/>
      <c r="C192" s="152"/>
      <c r="D192" s="101"/>
      <c r="E192" s="101"/>
      <c r="F192" s="155"/>
      <c r="G192" s="155"/>
      <c r="H192" s="155"/>
      <c r="I192" s="156"/>
      <c r="J192" s="155"/>
      <c r="K192" s="155"/>
      <c r="L192" s="155"/>
      <c r="M192" s="155"/>
      <c r="N192" s="155"/>
      <c r="O192" s="155"/>
    </row>
    <row r="193" ht="14" customHeight="1">
      <c r="A193" t="s" s="22">
        <v>174</v>
      </c>
      <c r="B193" s="23"/>
      <c r="C193" s="24"/>
      <c r="D193" s="25"/>
      <c r="E193" s="25" cm="1">
        <f t="array" ref="E193">SUM(E194:E196)</f>
        <v>10254.75</v>
      </c>
      <c r="F193" s="155"/>
      <c r="G193" s="155"/>
      <c r="H193" s="155"/>
      <c r="I193" s="156"/>
      <c r="J193" s="155"/>
      <c r="K193" s="155"/>
      <c r="L193" s="155"/>
      <c r="M193" s="155"/>
      <c r="N193" s="155"/>
      <c r="O193" s="155"/>
    </row>
    <row r="194" ht="14" customHeight="1">
      <c r="A194" t="s" s="32">
        <v>175</v>
      </c>
      <c r="B194" s="33">
        <v>165</v>
      </c>
      <c r="C194" t="s" s="34">
        <v>28</v>
      </c>
      <c r="D194" s="35" cm="1">
        <f t="array" ref="D194">(50)*1.1</f>
        <v>55</v>
      </c>
      <c r="E194" s="35" cm="1">
        <f t="array" ref="E194">D194*B194</f>
        <v>9075</v>
      </c>
      <c r="F194" s="155"/>
      <c r="G194" s="155"/>
      <c r="H194" s="155"/>
      <c r="I194" s="156"/>
      <c r="J194" s="155"/>
      <c r="K194" s="155"/>
      <c r="L194" s="155"/>
      <c r="M194" s="155"/>
      <c r="N194" s="155"/>
      <c r="O194" s="155"/>
    </row>
    <row r="195" ht="14" customHeight="1">
      <c r="A195" t="s" s="40">
        <v>134</v>
      </c>
      <c r="B195" s="41" cm="1">
        <f t="array" ref="B195">SUM(B194)</f>
        <v>165</v>
      </c>
      <c r="C195" t="s" s="42">
        <v>28</v>
      </c>
      <c r="D195" s="44" cm="1">
        <f t="array" ref="D195">6.5*1.1</f>
        <v>7.15</v>
      </c>
      <c r="E195" s="44" cm="1">
        <f t="array" ref="E195">D195*B195</f>
        <v>1179.75</v>
      </c>
      <c r="F195" s="155"/>
      <c r="G195" s="155"/>
      <c r="H195" s="155"/>
      <c r="I195" s="156"/>
      <c r="J195" s="155"/>
      <c r="K195" s="155"/>
      <c r="L195" s="155"/>
      <c r="M195" s="155"/>
      <c r="N195" s="155"/>
      <c r="O195" s="155"/>
    </row>
    <row r="196" ht="14" customHeight="1">
      <c r="A196" s="48"/>
      <c r="B196" s="41"/>
      <c r="C196" s="49"/>
      <c r="D196" s="44"/>
      <c r="E196" s="44"/>
      <c r="F196" s="160"/>
      <c r="G196" s="160"/>
      <c r="H196" s="160"/>
      <c r="I196" s="161"/>
      <c r="J196" s="160"/>
      <c r="K196" s="160"/>
      <c r="L196" s="160"/>
      <c r="M196" s="160"/>
      <c r="N196" s="160"/>
      <c r="O196" s="160"/>
    </row>
    <row r="197" ht="14" customHeight="1">
      <c r="A197" t="s" s="51">
        <v>176</v>
      </c>
      <c r="B197" s="52"/>
      <c r="C197" s="53"/>
      <c r="D197" s="54"/>
      <c r="E197" s="54" cm="1">
        <f t="array" ref="E197">SUM(E198:E199)</f>
        <v>15500</v>
      </c>
      <c r="F197" s="250">
        <v>46069</v>
      </c>
      <c r="G197" s="251"/>
      <c r="H197" s="252"/>
      <c r="I197" s="253"/>
      <c r="J197" s="254"/>
      <c r="K197" s="252"/>
      <c r="L197" s="167"/>
      <c r="M197" s="167"/>
      <c r="N197" s="167"/>
      <c r="O197" s="167"/>
    </row>
    <row r="198" ht="14" customHeight="1">
      <c r="A198" t="s" s="32">
        <v>177</v>
      </c>
      <c r="B198" s="78">
        <v>1</v>
      </c>
      <c r="C198" t="s" s="79">
        <v>19</v>
      </c>
      <c r="D198" s="80">
        <v>9000</v>
      </c>
      <c r="E198" s="35" cm="1">
        <f t="array" ref="E198">B198*D198</f>
        <v>9000</v>
      </c>
      <c r="F198" s="36"/>
      <c r="G198" s="155"/>
      <c r="H198" s="155"/>
      <c r="I198" s="156"/>
      <c r="J198" s="155"/>
      <c r="K198" s="155"/>
      <c r="L198" s="255"/>
      <c r="M198" s="36"/>
      <c r="N198" s="36"/>
      <c r="O198" s="36"/>
    </row>
    <row r="199" ht="14" customHeight="1">
      <c r="A199" t="s" s="138">
        <v>178</v>
      </c>
      <c r="B199" s="123">
        <v>1</v>
      </c>
      <c r="C199" t="s" s="86">
        <v>19</v>
      </c>
      <c r="D199" s="87">
        <v>6500</v>
      </c>
      <c r="E199" s="101" cm="1">
        <f t="array" ref="E199">B199*D199</f>
        <v>6500</v>
      </c>
      <c r="F199" s="140"/>
      <c r="G199" s="160"/>
      <c r="H199" s="160"/>
      <c r="I199" s="161"/>
      <c r="J199" s="160"/>
      <c r="K199" s="160"/>
      <c r="L199" s="155"/>
      <c r="M199" s="140"/>
      <c r="N199" s="140"/>
      <c r="O199" s="140"/>
    </row>
    <row r="200" ht="14" customHeight="1">
      <c r="A200" s="191"/>
      <c r="B200" s="256"/>
      <c r="C200" s="213"/>
      <c r="D200" s="257"/>
      <c r="E200" s="257"/>
      <c r="F200" s="190"/>
      <c r="G200" s="258"/>
      <c r="H200" s="178"/>
      <c r="I200" s="178"/>
      <c r="J200" s="178"/>
      <c r="K200" s="178"/>
      <c r="L200" s="190"/>
      <c r="M200" s="190"/>
      <c r="N200" s="190"/>
      <c r="O200" s="190"/>
    </row>
    <row r="201" ht="14" customHeight="1">
      <c r="A201" t="s" s="22">
        <v>179</v>
      </c>
      <c r="B201" s="52"/>
      <c r="C201" s="53"/>
      <c r="D201" s="54"/>
      <c r="E201" s="54" cm="1">
        <f t="array" ref="E201">SUM(E202:E202)</f>
        <v>24000</v>
      </c>
      <c r="F201" s="190"/>
      <c r="G201" s="189"/>
      <c r="H201" s="64"/>
      <c r="I201" s="64"/>
      <c r="J201" s="64"/>
      <c r="K201" s="64"/>
      <c r="L201" s="190"/>
      <c r="M201" s="190"/>
      <c r="N201" s="190"/>
      <c r="O201" s="190"/>
    </row>
    <row r="202" ht="14" customHeight="1">
      <c r="A202" t="s" s="77">
        <v>180</v>
      </c>
      <c r="B202" s="78">
        <v>1</v>
      </c>
      <c r="C202" t="s" s="79">
        <v>19</v>
      </c>
      <c r="D202" s="80">
        <v>24000</v>
      </c>
      <c r="E202" s="80" cm="1">
        <f t="array" ref="E202">B202*D202</f>
        <v>24000</v>
      </c>
      <c r="F202" s="190"/>
      <c r="G202" s="189"/>
      <c r="H202" s="64"/>
      <c r="I202" s="64"/>
      <c r="J202" s="64"/>
      <c r="K202" s="64"/>
      <c r="L202" s="190"/>
      <c r="M202" s="190"/>
      <c r="N202" s="190"/>
      <c r="O202" s="190"/>
    </row>
    <row r="203" ht="14" customHeight="1">
      <c r="A203" s="191"/>
      <c r="B203" s="256"/>
      <c r="C203" s="213"/>
      <c r="D203" s="259"/>
      <c r="E203" s="260"/>
      <c r="F203" s="190"/>
      <c r="G203" s="189"/>
      <c r="H203" s="64"/>
      <c r="I203" s="64"/>
      <c r="J203" s="64"/>
      <c r="K203" s="64"/>
      <c r="L203" s="190"/>
      <c r="M203" s="190"/>
      <c r="N203" s="190"/>
      <c r="O203" s="190"/>
    </row>
    <row r="204" ht="14" customHeight="1">
      <c r="A204" t="s" s="22">
        <v>181</v>
      </c>
      <c r="B204" s="52"/>
      <c r="C204" s="53"/>
      <c r="D204" s="54"/>
      <c r="E204" s="54" cm="1">
        <f t="array" ref="E204">SUM(E205:E214)</f>
        <v>156900</v>
      </c>
      <c r="F204" s="260"/>
      <c r="G204" s="189"/>
      <c r="H204" s="64"/>
      <c r="I204" s="64"/>
      <c r="J204" s="64"/>
      <c r="K204" s="64"/>
      <c r="L204" s="260"/>
      <c r="M204" s="260"/>
      <c r="N204" s="260"/>
      <c r="O204" s="260"/>
    </row>
    <row r="205" ht="14" customHeight="1">
      <c r="A205" t="s" s="98">
        <v>182</v>
      </c>
      <c r="B205" s="261">
        <v>1</v>
      </c>
      <c r="C205" t="s" s="262">
        <v>19</v>
      </c>
      <c r="D205" s="263">
        <v>110000</v>
      </c>
      <c r="E205" s="264" cm="1">
        <f t="array" ref="E205">B205*D205</f>
        <v>110000</v>
      </c>
      <c r="F205" s="45"/>
      <c r="G205" s="46"/>
      <c r="H205" s="50"/>
      <c r="I205" s="39"/>
      <c r="J205" s="39"/>
      <c r="K205" s="39"/>
      <c r="L205" s="49"/>
      <c r="M205" s="45"/>
      <c r="N205" s="45"/>
      <c r="O205" s="45"/>
    </row>
    <row r="206" ht="14" customHeight="1">
      <c r="A206" t="s" s="40">
        <v>46</v>
      </c>
      <c r="B206" s="41">
        <v>1</v>
      </c>
      <c r="C206" t="s" s="104">
        <v>19</v>
      </c>
      <c r="D206" s="105" cm="1">
        <f t="array" ref="D206">SUM(E205)*0.04</f>
        <v>4400</v>
      </c>
      <c r="E206" s="44" cm="1">
        <f t="array" ref="E206">B206*D206</f>
        <v>4400</v>
      </c>
      <c r="F206" s="45"/>
      <c r="G206" s="46"/>
      <c r="H206" s="50"/>
      <c r="I206" s="39"/>
      <c r="J206" s="39"/>
      <c r="K206" s="39"/>
      <c r="L206" s="49"/>
      <c r="M206" s="45"/>
      <c r="N206" s="45"/>
      <c r="O206" s="45"/>
    </row>
    <row r="207" ht="14" customHeight="1">
      <c r="A207" t="s" s="40">
        <v>48</v>
      </c>
      <c r="B207" s="41">
        <v>1</v>
      </c>
      <c r="C207" t="s" s="100">
        <v>19</v>
      </c>
      <c r="D207" s="101">
        <v>500</v>
      </c>
      <c r="E207" s="44" cm="1">
        <f t="array" ref="E207">B207*D207</f>
        <v>500</v>
      </c>
      <c r="F207" s="45"/>
      <c r="G207" s="46"/>
      <c r="H207" s="50"/>
      <c r="I207" s="39"/>
      <c r="J207" s="39"/>
      <c r="K207" s="39"/>
      <c r="L207" s="49"/>
      <c r="M207" s="45"/>
      <c r="N207" s="45"/>
      <c r="O207" s="45"/>
    </row>
    <row r="208" ht="14" customHeight="1">
      <c r="A208" t="s" s="40">
        <v>49</v>
      </c>
      <c r="B208" s="91">
        <v>1</v>
      </c>
      <c r="C208" t="s" s="108">
        <v>19</v>
      </c>
      <c r="D208" s="93">
        <v>15000</v>
      </c>
      <c r="E208" s="103" cm="1">
        <f t="array" ref="E208">B208*D208</f>
        <v>15000</v>
      </c>
      <c r="F208" s="45"/>
      <c r="G208" s="46"/>
      <c r="H208" s="50"/>
      <c r="I208" s="39"/>
      <c r="J208" s="39"/>
      <c r="K208" s="39"/>
      <c r="L208" s="49"/>
      <c r="M208" s="45"/>
      <c r="N208" s="45"/>
      <c r="O208" s="45"/>
    </row>
    <row r="209" ht="14" customHeight="1">
      <c r="A209" t="s" s="40">
        <v>183</v>
      </c>
      <c r="B209" s="91">
        <v>1</v>
      </c>
      <c r="C209" t="s" s="108">
        <v>19</v>
      </c>
      <c r="D209" s="93">
        <v>2000</v>
      </c>
      <c r="E209" s="103" cm="1">
        <f t="array" ref="E209">B209*D209</f>
        <v>2000</v>
      </c>
      <c r="F209" s="45"/>
      <c r="G209" s="46"/>
      <c r="H209" s="50"/>
      <c r="I209" s="39"/>
      <c r="J209" s="39"/>
      <c r="K209" s="39"/>
      <c r="L209" s="49"/>
      <c r="M209" s="45"/>
      <c r="N209" s="45"/>
      <c r="O209" s="45"/>
    </row>
    <row r="210" ht="14" customHeight="1">
      <c r="A210" t="s" s="40">
        <v>184</v>
      </c>
      <c r="B210" s="91">
        <v>1</v>
      </c>
      <c r="C210" t="s" s="108">
        <v>19</v>
      </c>
      <c r="D210" s="93">
        <v>12000</v>
      </c>
      <c r="E210" s="103" cm="1">
        <f t="array" ref="E210">B210*D210</f>
        <v>12000</v>
      </c>
      <c r="F210" s="45"/>
      <c r="G210" s="46"/>
      <c r="H210" s="50"/>
      <c r="I210" s="39"/>
      <c r="J210" s="39"/>
      <c r="K210" s="39"/>
      <c r="L210" s="49"/>
      <c r="M210" s="45"/>
      <c r="N210" s="45"/>
      <c r="O210" s="45"/>
    </row>
    <row r="211" ht="14" customHeight="1">
      <c r="A211" t="s" s="40">
        <v>185</v>
      </c>
      <c r="B211" s="91">
        <v>1</v>
      </c>
      <c r="C211" t="s" s="108">
        <v>19</v>
      </c>
      <c r="D211" s="93">
        <v>2500</v>
      </c>
      <c r="E211" s="103" cm="1">
        <f t="array" ref="E211">B211*D211</f>
        <v>2500</v>
      </c>
      <c r="F211" s="45"/>
      <c r="G211" s="46"/>
      <c r="H211" s="50"/>
      <c r="I211" s="39"/>
      <c r="J211" s="39"/>
      <c r="K211" s="39"/>
      <c r="L211" s="49"/>
      <c r="M211" s="45"/>
      <c r="N211" s="45"/>
      <c r="O211" s="45"/>
    </row>
    <row r="212" ht="14" customHeight="1">
      <c r="A212" t="s" s="40">
        <v>186</v>
      </c>
      <c r="B212" s="91">
        <v>1</v>
      </c>
      <c r="C212" t="s" s="108">
        <v>19</v>
      </c>
      <c r="D212" s="93">
        <v>1500</v>
      </c>
      <c r="E212" s="103" cm="1">
        <f t="array" ref="E212">B212*D212</f>
        <v>1500</v>
      </c>
      <c r="F212" s="45"/>
      <c r="G212" s="46"/>
      <c r="H212" s="50"/>
      <c r="I212" s="39"/>
      <c r="J212" s="39"/>
      <c r="K212" s="39"/>
      <c r="L212" s="49"/>
      <c r="M212" s="45"/>
      <c r="N212" s="45"/>
      <c r="O212" s="45"/>
    </row>
    <row r="213" ht="14" customHeight="1">
      <c r="A213" t="s" s="40">
        <v>55</v>
      </c>
      <c r="B213" s="41">
        <v>1</v>
      </c>
      <c r="C213" t="s" s="104">
        <v>19</v>
      </c>
      <c r="D213" s="105">
        <v>9000</v>
      </c>
      <c r="E213" s="44" cm="1">
        <f t="array" ref="E213">B213*D213</f>
        <v>9000</v>
      </c>
      <c r="F213" s="45"/>
      <c r="G213" s="46"/>
      <c r="H213" s="50"/>
      <c r="I213" s="39"/>
      <c r="J213" s="39"/>
      <c r="K213" s="39"/>
      <c r="L213" s="49"/>
      <c r="M213" s="45"/>
      <c r="N213" s="45"/>
      <c r="O213" s="45"/>
    </row>
    <row r="214" ht="14" customHeight="1">
      <c r="A214" s="48"/>
      <c r="B214" s="41"/>
      <c r="C214" s="49"/>
      <c r="D214" s="44"/>
      <c r="E214" s="44"/>
      <c r="F214" s="140"/>
      <c r="G214" s="46"/>
      <c r="H214" s="50"/>
      <c r="I214" s="39"/>
      <c r="J214" s="39"/>
      <c r="K214" s="39"/>
      <c r="L214" s="152"/>
      <c r="M214" s="140"/>
      <c r="N214" s="140"/>
      <c r="O214" s="140"/>
    </row>
    <row r="215" ht="14" customHeight="1">
      <c r="A215" t="s" s="51">
        <v>187</v>
      </c>
      <c r="B215" s="52"/>
      <c r="C215" s="53"/>
      <c r="D215" s="54"/>
      <c r="E215" s="54" cm="1">
        <f t="array" ref="E215">SUM(E216:E217)</f>
        <v>8375</v>
      </c>
      <c r="F215" s="190"/>
      <c r="G215" s="189"/>
      <c r="H215" s="64"/>
      <c r="I215" s="64"/>
      <c r="J215" s="64"/>
      <c r="K215" s="64"/>
      <c r="L215" s="190"/>
      <c r="M215" s="190"/>
      <c r="N215" s="190"/>
      <c r="O215" s="190"/>
    </row>
    <row r="216" ht="14" customHeight="1">
      <c r="A216" t="s" s="32">
        <v>188</v>
      </c>
      <c r="B216" s="78">
        <v>40</v>
      </c>
      <c r="C216" t="s" s="79">
        <v>28</v>
      </c>
      <c r="D216" s="80">
        <v>125</v>
      </c>
      <c r="E216" s="35" cm="1">
        <f t="array" ref="E216">B216*D216</f>
        <v>5000</v>
      </c>
      <c r="F216" s="190"/>
      <c r="G216" s="189"/>
      <c r="H216" s="64"/>
      <c r="I216" s="64"/>
      <c r="J216" s="64"/>
      <c r="K216" s="64"/>
      <c r="L216" s="190"/>
      <c r="M216" s="190"/>
      <c r="N216" s="190"/>
      <c r="O216" s="190"/>
    </row>
    <row r="217" ht="14" customHeight="1">
      <c r="A217" t="s" s="40">
        <v>189</v>
      </c>
      <c r="B217" s="123">
        <v>27</v>
      </c>
      <c r="C217" t="s" s="86">
        <v>28</v>
      </c>
      <c r="D217" s="87">
        <v>125</v>
      </c>
      <c r="E217" s="44" cm="1">
        <f t="array" ref="E217">B217*D217</f>
        <v>3375</v>
      </c>
      <c r="F217" s="190"/>
      <c r="G217" s="189"/>
      <c r="H217" s="64"/>
      <c r="I217" s="64"/>
      <c r="J217" s="64"/>
      <c r="K217" s="64"/>
      <c r="L217" s="190"/>
      <c r="M217" s="190"/>
      <c r="N217" s="190"/>
      <c r="O217" s="190"/>
    </row>
    <row r="218" ht="14" customHeight="1">
      <c r="A218" s="48"/>
      <c r="B218" s="123"/>
      <c r="C218" s="265"/>
      <c r="D218" s="87"/>
      <c r="E218" s="44"/>
      <c r="F218" s="190"/>
      <c r="G218" s="189"/>
      <c r="H218" s="64"/>
      <c r="I218" s="64"/>
      <c r="J218" s="64"/>
      <c r="K218" s="64"/>
      <c r="L218" s="190"/>
      <c r="M218" s="190"/>
      <c r="N218" s="190"/>
      <c r="O218" s="190"/>
    </row>
    <row r="219" ht="14" customHeight="1">
      <c r="A219" t="s" s="51">
        <v>190</v>
      </c>
      <c r="B219" s="23"/>
      <c r="C219" s="24"/>
      <c r="D219" s="25"/>
      <c r="E219" s="54" cm="1">
        <f t="array" ref="E219">SUM(E220:E221)</f>
        <v>25245</v>
      </c>
      <c r="F219" s="260"/>
      <c r="G219" s="189"/>
      <c r="H219" s="64"/>
      <c r="I219" s="64"/>
      <c r="J219" s="64"/>
      <c r="K219" s="64"/>
      <c r="L219" s="260"/>
      <c r="M219" s="260"/>
      <c r="N219" s="260"/>
      <c r="O219" s="260"/>
    </row>
    <row r="220" ht="14" customHeight="1">
      <c r="A220" t="s" s="32">
        <v>191</v>
      </c>
      <c r="B220" s="33">
        <v>327</v>
      </c>
      <c r="C220" t="s" s="34">
        <v>35</v>
      </c>
      <c r="D220" s="35">
        <v>60</v>
      </c>
      <c r="E220" s="35" cm="1">
        <f t="array" ref="E220">B220*D220</f>
        <v>19620</v>
      </c>
      <c r="F220" s="61"/>
      <c r="G220" s="63"/>
      <c r="H220" s="50"/>
      <c r="I220" s="64"/>
      <c r="J220" s="64"/>
      <c r="K220" s="64"/>
      <c r="L220" s="61"/>
      <c r="M220" s="61"/>
      <c r="N220" s="61"/>
      <c r="O220" s="61"/>
    </row>
    <row r="221" ht="14" customHeight="1">
      <c r="A221" t="s" s="40">
        <v>192</v>
      </c>
      <c r="B221" s="139">
        <v>75</v>
      </c>
      <c r="C221" t="s" s="100">
        <v>74</v>
      </c>
      <c r="D221" s="101">
        <v>75</v>
      </c>
      <c r="E221" s="44" cm="1">
        <f t="array" ref="E221">B221*D221</f>
        <v>5625</v>
      </c>
      <c r="F221" s="154"/>
      <c r="G221" s="266"/>
      <c r="H221" s="130"/>
      <c r="I221" s="196"/>
      <c r="J221" s="196"/>
      <c r="K221" s="196"/>
      <c r="L221" s="154"/>
      <c r="M221" s="61"/>
      <c r="N221" s="154"/>
      <c r="O221" s="154"/>
    </row>
    <row r="222" ht="14" customHeight="1">
      <c r="A222" s="151"/>
      <c r="B222" s="123"/>
      <c r="C222" s="265"/>
      <c r="D222" s="267"/>
      <c r="E222" s="45"/>
      <c r="F222" s="155"/>
      <c r="G222" s="160"/>
      <c r="H222" s="160"/>
      <c r="I222" s="161"/>
      <c r="J222" s="160"/>
      <c r="K222" s="160"/>
      <c r="L222" s="155"/>
      <c r="M222" s="140"/>
      <c r="N222" s="155"/>
      <c r="O222" s="155"/>
    </row>
    <row r="223" ht="14" customHeight="1">
      <c r="A223" s="198"/>
      <c r="B223" s="268"/>
      <c r="C223" s="200"/>
      <c r="D223" t="s" s="201">
        <v>158</v>
      </c>
      <c r="E223" s="269" cm="1">
        <f t="array" ref="E223">E185+E193+E197+E201+E204+E215+E219</f>
        <v>296774.75</v>
      </c>
      <c r="F223" s="190"/>
      <c r="G223" s="258"/>
      <c r="H223" s="178"/>
      <c r="I223" s="178"/>
      <c r="J223" s="178"/>
      <c r="K223" s="178"/>
      <c r="L223" s="190"/>
      <c r="M223" s="190"/>
      <c r="N223" s="190"/>
      <c r="O223" s="190"/>
    </row>
    <row r="224" ht="14" customHeight="1">
      <c r="A224" s="198"/>
      <c r="B224" s="199"/>
      <c r="C224" s="207"/>
      <c r="D224" t="s" s="208">
        <v>159</v>
      </c>
      <c r="E224" s="203" cm="1">
        <f t="array" ref="E224">E223*0.2</f>
        <v>59354.95</v>
      </c>
      <c r="F224" s="190"/>
      <c r="G224" s="189"/>
      <c r="H224" s="64"/>
      <c r="I224" s="64"/>
      <c r="J224" s="64"/>
      <c r="K224" s="64"/>
      <c r="L224" s="190"/>
      <c r="M224" s="190"/>
      <c r="N224" s="190"/>
      <c r="O224" s="190"/>
    </row>
    <row r="225" ht="14" customHeight="1">
      <c r="A225" s="198"/>
      <c r="B225" s="199"/>
      <c r="C225" s="207"/>
      <c r="D225" t="s" s="208">
        <v>160</v>
      </c>
      <c r="E225" s="210" cm="1">
        <f t="array" ref="E225">E223*1.5%</f>
        <v>4451.62125</v>
      </c>
      <c r="F225" s="190"/>
      <c r="G225" s="189"/>
      <c r="H225" s="64"/>
      <c r="I225" s="64"/>
      <c r="J225" s="64"/>
      <c r="K225" s="64"/>
      <c r="L225" s="190"/>
      <c r="M225" s="190"/>
      <c r="N225" s="190"/>
      <c r="O225" s="190"/>
    </row>
    <row r="226" ht="14" customHeight="1">
      <c r="A226" t="s" s="215">
        <v>162</v>
      </c>
      <c r="B226" s="223"/>
      <c r="C226" s="270"/>
      <c r="D226" s="270"/>
      <c r="E226" s="97" cm="1">
        <f t="array" ref="E226">E223*0.0085</f>
        <v>2522.585375</v>
      </c>
      <c r="F226" s="190"/>
      <c r="G226" s="189"/>
      <c r="H226" s="64"/>
      <c r="I226" s="64"/>
      <c r="J226" s="64"/>
      <c r="K226" s="64"/>
      <c r="L226" s="190"/>
      <c r="M226" s="190"/>
      <c r="N226" s="190"/>
      <c r="O226" s="190"/>
    </row>
    <row r="227" ht="14" customHeight="1">
      <c r="A227" s="217"/>
      <c r="B227" s="224"/>
      <c r="C227" s="225"/>
      <c r="D227" t="s" s="226">
        <v>163</v>
      </c>
      <c r="E227" s="227" cm="1">
        <f t="array" ref="E227">SUM(E223:E226)</f>
        <v>363103.906625</v>
      </c>
      <c r="F227" s="260"/>
      <c r="G227" s="189"/>
      <c r="H227" s="64"/>
      <c r="I227" s="64"/>
      <c r="J227" s="64"/>
      <c r="K227" s="64"/>
      <c r="L227" s="260"/>
      <c r="M227" s="260"/>
      <c r="N227" s="260"/>
      <c r="O227" s="260"/>
    </row>
  </sheetData>
  <mergeCells count="2">
    <mergeCell ref="A175:D175"/>
    <mergeCell ref="A226:D226"/>
  </mergeCells>
  <pageMargins left="1" right="1" top="1" bottom="1" header="0.75" footer="0.666667"/>
  <pageSetup firstPageNumber="1" fitToHeight="1" fitToWidth="1" scale="100" useFirstPageNumber="0" orientation="portrait" pageOrder="downThenOver"/>
  <headerFooter>
    <oddHeader>&amp;C&amp;"Calibri,Italic"&amp;12&amp;K000000*ROUGH INITIAL BUDGET WORKSHEET*</oddHeader>
    <oddFooter>&amp;L&amp;"Moon 2.0 Regular,Regular"&amp;9&amp;K000000MARPA&amp;"Gill Sans Light,Regular"
04.22.26&amp;R&amp;"Gill Sans,Regular"&amp;8&amp;K000000
&amp;P</oddFooter>
  </headerFooter>
  <drawing r:id="rId1"/>
  <legacyDrawing r:id="rId2"/>
</worksheet>
</file>

<file path=xl/worksheets/sheet3.xml><?xml version="1.0" encoding="utf-8"?>
<worksheet xmlns:r="http://schemas.openxmlformats.org/officeDocument/2006/relationships" xmlns="http://schemas.openxmlformats.org/spreadsheetml/2006/main">
  <dimension ref="B1:AF67"/>
  <sheetViews>
    <sheetView workbookViewId="0" showGridLines="0" defaultGridColor="1"/>
  </sheetViews>
  <sheetFormatPr defaultColWidth="10.8333" defaultRowHeight="17.05" customHeight="1" outlineLevelRow="0" outlineLevelCol="0"/>
  <cols>
    <col min="1" max="1" width="2" style="271" customWidth="1"/>
    <col min="2" max="2" width="25" style="271" customWidth="1"/>
    <col min="3" max="3" width="11.6719" style="271" customWidth="1"/>
    <col min="4" max="6" hidden="1" width="10.8333" style="271" customWidth="1"/>
    <col min="7" max="8" width="23.3516" style="271" customWidth="1"/>
    <col min="9" max="32" hidden="1" width="10.8333" style="271" customWidth="1"/>
    <col min="33" max="16384" width="10.8516" style="271" customWidth="1"/>
  </cols>
  <sheetData>
    <row r="1" ht="18" customHeight="1">
      <c r="B1" t="s" s="272">
        <v>6</v>
      </c>
      <c r="C1" s="169"/>
      <c r="D1" s="169"/>
      <c r="E1" s="273"/>
      <c r="F1" s="274"/>
      <c r="G1" s="169"/>
      <c r="H1" s="169"/>
      <c r="I1" s="275"/>
      <c r="J1" s="275"/>
      <c r="K1" s="275"/>
      <c r="L1" s="275"/>
      <c r="M1" s="275"/>
      <c r="N1" s="275"/>
      <c r="O1" s="275"/>
      <c r="P1" s="273"/>
      <c r="Q1" s="273"/>
      <c r="R1" s="273"/>
      <c r="S1" s="273"/>
      <c r="T1" s="273"/>
      <c r="U1" s="273"/>
      <c r="V1" s="273"/>
      <c r="W1" s="273"/>
      <c r="X1" s="273"/>
      <c r="Y1" s="273"/>
      <c r="Z1" s="273"/>
      <c r="AA1" s="276"/>
      <c r="AB1" s="273"/>
      <c r="AC1" s="273"/>
      <c r="AD1" s="277"/>
      <c r="AE1" s="273"/>
      <c r="AF1" s="273"/>
    </row>
    <row r="2" ht="18" customHeight="1">
      <c r="B2" t="s" s="11">
        <v>194</v>
      </c>
      <c r="C2" s="169"/>
      <c r="D2" s="169"/>
      <c r="E2" s="273"/>
      <c r="F2" s="274"/>
      <c r="G2" s="169"/>
      <c r="H2" s="169"/>
      <c r="I2" s="275"/>
      <c r="J2" s="275"/>
      <c r="K2" s="275"/>
      <c r="L2" s="275"/>
      <c r="M2" s="275"/>
      <c r="N2" s="275"/>
      <c r="O2" s="275"/>
      <c r="P2" s="273"/>
      <c r="Q2" s="273"/>
      <c r="R2" s="273"/>
      <c r="S2" s="273"/>
      <c r="T2" s="273"/>
      <c r="U2" s="273"/>
      <c r="V2" s="273"/>
      <c r="W2" s="273"/>
      <c r="X2" s="273"/>
      <c r="Y2" s="273"/>
      <c r="Z2" s="273"/>
      <c r="AA2" s="276"/>
      <c r="AB2" s="273"/>
      <c r="AC2" s="273"/>
      <c r="AD2" s="277"/>
      <c r="AE2" s="273"/>
      <c r="AF2" s="273"/>
    </row>
    <row r="3" ht="18" customHeight="1">
      <c r="B3" t="s" s="11">
        <v>8</v>
      </c>
      <c r="C3" s="169"/>
      <c r="D3" s="169"/>
      <c r="E3" s="273"/>
      <c r="F3" s="169"/>
      <c r="G3" s="169"/>
      <c r="H3" s="169"/>
      <c r="I3" s="275"/>
      <c r="J3" s="275"/>
      <c r="K3" s="275"/>
      <c r="L3" s="275"/>
      <c r="M3" s="275"/>
      <c r="N3" s="275"/>
      <c r="O3" s="275"/>
      <c r="P3" s="273"/>
      <c r="Q3" s="273"/>
      <c r="R3" s="273"/>
      <c r="S3" s="273"/>
      <c r="T3" s="273"/>
      <c r="U3" s="273"/>
      <c r="V3" s="273"/>
      <c r="W3" s="273"/>
      <c r="X3" s="273"/>
      <c r="Y3" s="273"/>
      <c r="Z3" s="273"/>
      <c r="AA3" s="276"/>
      <c r="AB3" s="273"/>
      <c r="AC3" s="273"/>
      <c r="AD3" s="277"/>
      <c r="AE3" s="273"/>
      <c r="AF3" s="273"/>
    </row>
    <row r="4" ht="18" customHeight="1">
      <c r="B4" s="278"/>
      <c r="C4" s="273"/>
      <c r="D4" s="273"/>
      <c r="E4" s="279"/>
      <c r="F4" s="280"/>
      <c r="G4" s="281"/>
      <c r="H4" s="273"/>
      <c r="I4" s="282"/>
      <c r="J4" s="282"/>
      <c r="K4" s="282"/>
      <c r="L4" s="282"/>
      <c r="M4" s="282"/>
      <c r="N4" s="282"/>
      <c r="O4" s="282"/>
      <c r="P4" s="283"/>
      <c r="Q4" s="282"/>
      <c r="R4" s="283"/>
      <c r="S4" s="284"/>
      <c r="T4" s="273"/>
      <c r="U4" s="285"/>
      <c r="V4" s="286"/>
      <c r="W4" s="273"/>
      <c r="X4" s="285"/>
      <c r="Y4" s="284"/>
      <c r="Z4" s="273"/>
      <c r="AA4" s="287"/>
      <c r="AB4" s="286"/>
      <c r="AC4" s="273"/>
      <c r="AD4" s="288"/>
      <c r="AE4" s="284"/>
      <c r="AF4" s="273"/>
    </row>
    <row r="5" ht="17" customHeight="1">
      <c r="B5" t="s" s="289">
        <v>195</v>
      </c>
      <c r="C5" s="290"/>
      <c r="D5" s="290"/>
      <c r="E5" s="291"/>
      <c r="F5" s="292"/>
      <c r="G5" s="293"/>
      <c r="H5" s="290"/>
      <c r="I5" s="282"/>
      <c r="J5" s="282"/>
      <c r="K5" s="282"/>
      <c r="L5" s="282"/>
      <c r="M5" s="282"/>
      <c r="N5" s="282"/>
      <c r="O5" s="282"/>
      <c r="P5" s="283"/>
      <c r="Q5" s="282"/>
      <c r="R5" s="283"/>
      <c r="S5" s="284"/>
      <c r="T5" s="273"/>
      <c r="U5" s="285"/>
      <c r="V5" s="286"/>
      <c r="W5" s="273"/>
      <c r="X5" s="285"/>
      <c r="Y5" s="284"/>
      <c r="Z5" s="273"/>
      <c r="AA5" s="287"/>
      <c r="AB5" s="286"/>
      <c r="AC5" s="273"/>
      <c r="AD5" s="288"/>
      <c r="AE5" s="284"/>
      <c r="AF5" s="273"/>
    </row>
    <row r="6" ht="17" customHeight="1">
      <c r="B6" t="s" s="294">
        <v>9</v>
      </c>
      <c r="C6" t="s" s="295">
        <v>196</v>
      </c>
      <c r="D6" t="s" s="296">
        <v>197</v>
      </c>
      <c r="E6" t="s" s="297">
        <v>198</v>
      </c>
      <c r="F6" t="s" s="296">
        <v>199</v>
      </c>
      <c r="G6" t="s" s="298">
        <v>200</v>
      </c>
      <c r="H6" t="s" s="299">
        <v>201</v>
      </c>
      <c r="I6" t="s" s="300">
        <v>15</v>
      </c>
      <c r="J6" t="s" s="300">
        <v>202</v>
      </c>
      <c r="K6" s="301"/>
      <c r="L6" s="301"/>
      <c r="M6" s="301"/>
      <c r="N6" s="301"/>
      <c r="O6" s="301"/>
      <c r="P6" s="302"/>
      <c r="Q6" t="s" s="300">
        <v>203</v>
      </c>
      <c r="R6" s="302"/>
      <c r="S6" t="s" s="303">
        <v>204</v>
      </c>
      <c r="T6" s="304"/>
      <c r="U6" s="305"/>
      <c r="V6" t="s" s="306">
        <v>205</v>
      </c>
      <c r="W6" s="304"/>
      <c r="X6" s="305"/>
      <c r="Y6" t="s" s="303">
        <v>206</v>
      </c>
      <c r="Z6" s="304"/>
      <c r="AA6" s="307"/>
      <c r="AB6" t="s" s="306">
        <v>207</v>
      </c>
      <c r="AC6" s="304"/>
      <c r="AD6" s="308"/>
      <c r="AE6" t="s" s="303">
        <v>208</v>
      </c>
      <c r="AF6" s="304"/>
    </row>
    <row r="7" ht="30.8" customHeight="1">
      <c r="B7" t="s" s="309">
        <v>209</v>
      </c>
      <c r="C7" s="310">
        <v>46098</v>
      </c>
      <c r="D7" s="311">
        <v>46072</v>
      </c>
      <c r="E7" s="312"/>
      <c r="F7" s="313"/>
      <c r="G7" s="311">
        <v>46098</v>
      </c>
      <c r="H7" s="314">
        <v>46098</v>
      </c>
      <c r="I7" s="301"/>
      <c r="J7" s="301"/>
      <c r="K7" s="301"/>
      <c r="L7" s="301"/>
      <c r="M7" s="301"/>
      <c r="N7" s="301"/>
      <c r="O7" s="301"/>
      <c r="P7" s="302"/>
      <c r="Q7" s="301"/>
      <c r="R7" s="302"/>
      <c r="S7" s="315"/>
      <c r="T7" s="304"/>
      <c r="U7" s="305"/>
      <c r="V7" s="316"/>
      <c r="W7" s="304"/>
      <c r="X7" s="305"/>
      <c r="Y7" s="315"/>
      <c r="Z7" s="304"/>
      <c r="AA7" s="307"/>
      <c r="AB7" s="316"/>
      <c r="AC7" s="304"/>
      <c r="AD7" s="308"/>
      <c r="AE7" s="315"/>
      <c r="AF7" s="304"/>
    </row>
    <row r="8" ht="30.2" customHeight="1">
      <c r="B8" t="s" s="317">
        <v>210</v>
      </c>
      <c r="C8" s="318" cm="1">
        <f t="array" ref="C8">'BUDGET'!E7</f>
        <v>8500</v>
      </c>
      <c r="D8" s="319">
        <v>103625</v>
      </c>
      <c r="E8" s="319" cm="1">
        <f t="array" ref="E8">D8-C8</f>
        <v>95125</v>
      </c>
      <c r="F8" t="s" s="320">
        <v>211</v>
      </c>
      <c r="G8" t="s" s="320">
        <v>211</v>
      </c>
      <c r="H8" t="s" s="321">
        <v>211</v>
      </c>
      <c r="I8" s="322"/>
      <c r="J8" s="322"/>
      <c r="K8" s="322"/>
      <c r="L8" s="322"/>
      <c r="M8" s="322"/>
      <c r="N8" s="322"/>
      <c r="O8" s="322"/>
      <c r="P8" s="323"/>
      <c r="Q8" s="324"/>
      <c r="R8" s="323"/>
      <c r="S8" s="325"/>
      <c r="T8" s="326"/>
      <c r="U8" s="327"/>
      <c r="V8" s="328"/>
      <c r="W8" s="329"/>
      <c r="X8" s="327"/>
      <c r="Y8" s="325"/>
      <c r="Z8" s="326"/>
      <c r="AA8" s="330"/>
      <c r="AB8" s="328"/>
      <c r="AC8" s="329"/>
      <c r="AD8" s="331"/>
      <c r="AE8" s="325"/>
      <c r="AF8" s="326"/>
    </row>
    <row r="9" ht="30.2" customHeight="1">
      <c r="B9" t="s" s="332">
        <v>212</v>
      </c>
      <c r="C9" s="333" cm="1">
        <f t="array" ref="C9">'BUDGET'!E12</f>
        <v>20300</v>
      </c>
      <c r="D9" s="334">
        <v>135606.25</v>
      </c>
      <c r="E9" s="334" cm="1">
        <f t="array" ref="E9">D9-C9</f>
        <v>115306.25</v>
      </c>
      <c r="F9" t="s" s="335">
        <v>211</v>
      </c>
      <c r="G9" t="s" s="336">
        <v>213</v>
      </c>
      <c r="H9" t="s" s="337">
        <v>211</v>
      </c>
      <c r="I9" s="322"/>
      <c r="J9" s="322"/>
      <c r="K9" s="322"/>
      <c r="L9" s="322"/>
      <c r="M9" s="322"/>
      <c r="N9" s="322"/>
      <c r="O9" s="322"/>
      <c r="P9" s="323"/>
      <c r="Q9" s="324"/>
      <c r="R9" s="323"/>
      <c r="S9" s="325"/>
      <c r="T9" s="326"/>
      <c r="U9" s="327"/>
      <c r="V9" s="328"/>
      <c r="W9" s="329"/>
      <c r="X9" s="327"/>
      <c r="Y9" s="325"/>
      <c r="Z9" s="326"/>
      <c r="AA9" s="330"/>
      <c r="AB9" s="328"/>
      <c r="AC9" s="329"/>
      <c r="AD9" s="331"/>
      <c r="AE9" s="325"/>
      <c r="AF9" s="326"/>
    </row>
    <row r="10" ht="30.2" customHeight="1">
      <c r="B10" t="s" s="332">
        <v>214</v>
      </c>
      <c r="C10" s="333" cm="1">
        <f t="array" ref="C10">'BUDGET'!E17</f>
        <v>55368</v>
      </c>
      <c r="D10" s="334">
        <v>18791.85</v>
      </c>
      <c r="E10" s="334" cm="1">
        <f t="array" ref="E10">D10-C10</f>
        <v>-36576.15</v>
      </c>
      <c r="F10" t="s" s="335">
        <v>211</v>
      </c>
      <c r="G10" t="s" s="336">
        <v>215</v>
      </c>
      <c r="H10" s="338" cm="1">
        <f t="array" ref="H10">#REF!</f>
      </c>
      <c r="I10" s="339"/>
      <c r="J10" s="339"/>
      <c r="K10" s="339"/>
      <c r="L10" s="339"/>
      <c r="M10" s="339"/>
      <c r="N10" s="339"/>
      <c r="O10" s="339"/>
      <c r="P10" s="323"/>
      <c r="Q10" s="324"/>
      <c r="R10" s="323"/>
      <c r="S10" s="325"/>
      <c r="T10" s="326"/>
      <c r="U10" s="327"/>
      <c r="V10" s="328"/>
      <c r="W10" s="329"/>
      <c r="X10" s="327"/>
      <c r="Y10" s="325"/>
      <c r="Z10" s="326"/>
      <c r="AA10" s="330"/>
      <c r="AB10" s="328"/>
      <c r="AC10" s="329"/>
      <c r="AD10" s="331"/>
      <c r="AE10" s="325"/>
      <c r="AF10" s="326"/>
    </row>
    <row r="11" ht="30.2" customHeight="1">
      <c r="B11" t="s" s="332">
        <v>216</v>
      </c>
      <c r="C11" s="333" cm="1">
        <f t="array" ref="C11">'BUDGET'!E25</f>
        <v>8500</v>
      </c>
      <c r="D11" s="334">
        <v>31000</v>
      </c>
      <c r="E11" s="334" cm="1">
        <f t="array" ref="E11">D11-C11</f>
        <v>22500</v>
      </c>
      <c r="F11" t="s" s="335">
        <v>211</v>
      </c>
      <c r="G11" t="s" s="336">
        <v>211</v>
      </c>
      <c r="H11" t="s" s="337">
        <v>211</v>
      </c>
      <c r="I11" t="s" s="340">
        <v>20</v>
      </c>
      <c r="J11" s="341"/>
      <c r="K11" s="341"/>
      <c r="L11" s="341"/>
      <c r="M11" s="341"/>
      <c r="N11" s="341"/>
      <c r="O11" s="341"/>
      <c r="P11" s="323"/>
      <c r="Q11" s="324"/>
      <c r="R11" s="323"/>
      <c r="S11" s="325"/>
      <c r="T11" s="326"/>
      <c r="U11" s="327"/>
      <c r="V11" s="328"/>
      <c r="W11" s="329"/>
      <c r="X11" s="327"/>
      <c r="Y11" s="325"/>
      <c r="Z11" s="326"/>
      <c r="AA11" s="330"/>
      <c r="AB11" s="328"/>
      <c r="AC11" s="329"/>
      <c r="AD11" s="331"/>
      <c r="AE11" s="325"/>
      <c r="AF11" s="326"/>
    </row>
    <row r="12" ht="30.2" customHeight="1">
      <c r="B12" t="s" s="332">
        <v>217</v>
      </c>
      <c r="C12" s="342" cm="1">
        <f t="array" ref="C12">'BUDGET'!E28</f>
        <v>20560</v>
      </c>
      <c r="D12" s="342">
        <v>63050</v>
      </c>
      <c r="E12" s="342" cm="1">
        <f t="array" ref="E12">D12-C12</f>
        <v>42490</v>
      </c>
      <c r="F12" t="s" s="343">
        <v>211</v>
      </c>
      <c r="G12" t="s" s="343">
        <v>211</v>
      </c>
      <c r="H12" t="s" s="337">
        <v>211</v>
      </c>
      <c r="I12" t="s" s="344">
        <v>20</v>
      </c>
      <c r="J12" s="345"/>
      <c r="K12" s="345"/>
      <c r="L12" s="345"/>
      <c r="M12" s="345"/>
      <c r="N12" s="345"/>
      <c r="O12" s="345"/>
      <c r="P12" s="323"/>
      <c r="Q12" s="324"/>
      <c r="R12" s="323"/>
      <c r="S12" s="325"/>
      <c r="T12" s="326"/>
      <c r="U12" s="327"/>
      <c r="V12" s="328"/>
      <c r="W12" s="329"/>
      <c r="X12" s="327"/>
      <c r="Y12" s="325"/>
      <c r="Z12" s="326"/>
      <c r="AA12" s="330"/>
      <c r="AB12" s="328"/>
      <c r="AC12" s="329"/>
      <c r="AD12" s="331"/>
      <c r="AE12" s="325"/>
      <c r="AF12" s="326"/>
    </row>
    <row r="13" ht="30.2" customHeight="1">
      <c r="B13" t="s" s="332">
        <v>218</v>
      </c>
      <c r="C13" s="333" cm="1">
        <f t="array" ref="C13">'BUDGET'!E32</f>
        <v>309400</v>
      </c>
      <c r="D13" s="334">
        <v>850370.15</v>
      </c>
      <c r="E13" s="334" cm="1">
        <f t="array" ref="E13">D13-C13</f>
        <v>540970.15</v>
      </c>
      <c r="F13" t="s" s="335">
        <v>211</v>
      </c>
      <c r="G13" t="s" s="336">
        <v>219</v>
      </c>
      <c r="H13" s="338" cm="1">
        <f t="array" ref="H13">'BUDGET'!E54</f>
        <v>-87000</v>
      </c>
      <c r="I13" s="345"/>
      <c r="J13" s="345"/>
      <c r="K13" s="345"/>
      <c r="L13" s="345"/>
      <c r="M13" s="345"/>
      <c r="N13" s="345"/>
      <c r="O13" s="345"/>
      <c r="P13" s="323"/>
      <c r="Q13" s="324"/>
      <c r="R13" s="323"/>
      <c r="S13" s="325"/>
      <c r="T13" s="326"/>
      <c r="U13" s="327"/>
      <c r="V13" s="328"/>
      <c r="W13" s="329"/>
      <c r="X13" s="327"/>
      <c r="Y13" s="325"/>
      <c r="Z13" s="326"/>
      <c r="AA13" s="330"/>
      <c r="AB13" s="328"/>
      <c r="AC13" s="329"/>
      <c r="AD13" s="331"/>
      <c r="AE13" s="325"/>
      <c r="AF13" s="326"/>
    </row>
    <row r="14" ht="30.2" customHeight="1">
      <c r="B14" t="s" s="332">
        <v>220</v>
      </c>
      <c r="C14" s="333"/>
      <c r="D14" s="334"/>
      <c r="E14" s="334" cm="1">
        <f t="array" ref="E14">D14-C14</f>
        <v>0</v>
      </c>
      <c r="F14" s="346"/>
      <c r="G14" t="s" s="336">
        <v>221</v>
      </c>
      <c r="H14" s="338" cm="1">
        <f t="array" ref="H14">#REF!</f>
      </c>
      <c r="I14" s="345"/>
      <c r="J14" s="345"/>
      <c r="K14" s="345"/>
      <c r="L14" s="345"/>
      <c r="M14" s="345"/>
      <c r="N14" s="345"/>
      <c r="O14" s="345"/>
      <c r="P14" s="323"/>
      <c r="Q14" s="324"/>
      <c r="R14" s="323"/>
      <c r="S14" s="325"/>
      <c r="T14" s="326"/>
      <c r="U14" s="327"/>
      <c r="V14" s="328"/>
      <c r="W14" s="329"/>
      <c r="X14" s="327"/>
      <c r="Y14" s="325"/>
      <c r="Z14" s="326"/>
      <c r="AA14" s="330"/>
      <c r="AB14" s="328"/>
      <c r="AC14" s="329"/>
      <c r="AD14" s="331"/>
      <c r="AE14" s="325"/>
      <c r="AF14" s="326"/>
    </row>
    <row r="15" ht="30.2" customHeight="1">
      <c r="B15" t="s" s="332">
        <v>222</v>
      </c>
      <c r="C15" s="342" cm="1">
        <f t="array" ref="C15">'BUDGET'!E56</f>
        <v>88361.850000000006</v>
      </c>
      <c r="D15" s="342">
        <v>387096.7</v>
      </c>
      <c r="E15" s="342" cm="1">
        <f t="array" ref="E15">D15-C15</f>
        <v>298734.85</v>
      </c>
      <c r="F15" t="s" s="343">
        <v>211</v>
      </c>
      <c r="G15" t="s" s="343">
        <v>211</v>
      </c>
      <c r="H15" t="s" s="337">
        <v>211</v>
      </c>
      <c r="I15" t="s" s="344">
        <v>75</v>
      </c>
      <c r="J15" s="345"/>
      <c r="K15" s="345"/>
      <c r="L15" s="345"/>
      <c r="M15" s="345"/>
      <c r="N15" s="345"/>
      <c r="O15" s="345"/>
      <c r="P15" s="323"/>
      <c r="Q15" s="324"/>
      <c r="R15" s="323"/>
      <c r="S15" s="325"/>
      <c r="T15" s="326"/>
      <c r="U15" s="327"/>
      <c r="V15" s="328"/>
      <c r="W15" s="329"/>
      <c r="X15" s="327"/>
      <c r="Y15" s="325"/>
      <c r="Z15" s="326"/>
      <c r="AA15" s="330"/>
      <c r="AB15" s="328"/>
      <c r="AC15" s="329"/>
      <c r="AD15" s="331"/>
      <c r="AE15" s="325"/>
      <c r="AF15" s="326"/>
    </row>
    <row r="16" ht="30.2" customHeight="1">
      <c r="B16" t="s" s="332">
        <v>223</v>
      </c>
      <c r="C16" s="342" cm="1">
        <f t="array" ref="C16">'BUDGET'!E75</f>
        <v>39475</v>
      </c>
      <c r="D16" s="342">
        <v>106750</v>
      </c>
      <c r="E16" s="342" cm="1">
        <f t="array" ref="E16">D16-C16</f>
        <v>67275</v>
      </c>
      <c r="F16" t="s" s="343">
        <v>211</v>
      </c>
      <c r="G16" t="s" s="343">
        <v>211</v>
      </c>
      <c r="H16" t="s" s="337">
        <v>211</v>
      </c>
      <c r="I16" s="339"/>
      <c r="J16" s="339"/>
      <c r="K16" s="339"/>
      <c r="L16" s="339"/>
      <c r="M16" s="339"/>
      <c r="N16" s="339"/>
      <c r="O16" s="339"/>
      <c r="P16" s="323"/>
      <c r="Q16" s="324"/>
      <c r="R16" s="323"/>
      <c r="S16" s="325"/>
      <c r="T16" s="326"/>
      <c r="U16" s="327"/>
      <c r="V16" s="328"/>
      <c r="W16" s="329"/>
      <c r="X16" s="327"/>
      <c r="Y16" s="325"/>
      <c r="Z16" s="326"/>
      <c r="AA16" s="330"/>
      <c r="AB16" s="328"/>
      <c r="AC16" s="329"/>
      <c r="AD16" s="331"/>
      <c r="AE16" s="325"/>
      <c r="AF16" s="326"/>
    </row>
    <row r="17" ht="30.2" customHeight="1">
      <c r="B17" t="s" s="332">
        <v>224</v>
      </c>
      <c r="C17" s="342" cm="1">
        <f t="array" ref="C17">'BUDGET'!E82</f>
        <v>138138.15</v>
      </c>
      <c r="D17" s="342">
        <v>263229.5</v>
      </c>
      <c r="E17" s="342" cm="1">
        <f t="array" ref="E17">D17-C17</f>
        <v>125091.35</v>
      </c>
      <c r="F17" t="s" s="343">
        <v>211</v>
      </c>
      <c r="G17" t="s" s="343">
        <v>225</v>
      </c>
      <c r="H17" s="338" cm="1">
        <f t="array" ref="H17">SUM('BUDGET'!E97:E104)</f>
        <v>-19602.0833333333</v>
      </c>
      <c r="I17" t="s" s="347">
        <v>20</v>
      </c>
      <c r="J17" s="348"/>
      <c r="K17" s="348"/>
      <c r="L17" s="348"/>
      <c r="M17" s="348"/>
      <c r="N17" s="348"/>
      <c r="O17" s="348"/>
      <c r="P17" s="323"/>
      <c r="Q17" s="324"/>
      <c r="R17" s="323"/>
      <c r="S17" s="325"/>
      <c r="T17" s="326"/>
      <c r="U17" s="327"/>
      <c r="V17" s="328"/>
      <c r="W17" s="329"/>
      <c r="X17" s="327"/>
      <c r="Y17" s="325"/>
      <c r="Z17" s="326"/>
      <c r="AA17" s="330"/>
      <c r="AB17" s="328"/>
      <c r="AC17" s="329"/>
      <c r="AD17" s="331"/>
      <c r="AE17" s="325"/>
      <c r="AF17" s="326"/>
    </row>
    <row r="18" ht="30.2" customHeight="1">
      <c r="B18" t="s" s="332">
        <v>226</v>
      </c>
      <c r="C18" s="333" cm="1">
        <f t="array" ref="C18">'BUDGET'!E106</f>
        <v>118753.18</v>
      </c>
      <c r="D18" s="334">
        <v>585164.5</v>
      </c>
      <c r="E18" s="334" cm="1">
        <f t="array" ref="E18">D18-C18</f>
        <v>466411.32</v>
      </c>
      <c r="F18" t="s" s="335">
        <v>211</v>
      </c>
      <c r="G18" t="s" s="336">
        <v>227</v>
      </c>
      <c r="H18" s="338" cm="1">
        <f t="array" ref="H18">SUM('BUDGET'!E120:E123)</f>
        <v>-6661.93675</v>
      </c>
      <c r="I18" s="349"/>
      <c r="J18" s="349"/>
      <c r="K18" s="349"/>
      <c r="L18" s="349"/>
      <c r="M18" s="349"/>
      <c r="N18" s="349"/>
      <c r="O18" s="349"/>
      <c r="P18" s="323"/>
      <c r="Q18" s="324"/>
      <c r="R18" s="323"/>
      <c r="S18" s="325"/>
      <c r="T18" s="326"/>
      <c r="U18" s="327"/>
      <c r="V18" s="328"/>
      <c r="W18" s="329"/>
      <c r="X18" s="327"/>
      <c r="Y18" s="325"/>
      <c r="Z18" s="326"/>
      <c r="AA18" s="330"/>
      <c r="AB18" s="328"/>
      <c r="AC18" s="329"/>
      <c r="AD18" s="331"/>
      <c r="AE18" s="325"/>
      <c r="AF18" s="326"/>
    </row>
    <row r="19" ht="30.2" customHeight="1">
      <c r="B19" t="s" s="332">
        <v>228</v>
      </c>
      <c r="C19" s="342" cm="1">
        <f t="array" ref="C19">'BUDGET'!E125</f>
        <v>60200.5</v>
      </c>
      <c r="D19" s="342">
        <v>157050</v>
      </c>
      <c r="E19" s="342" cm="1">
        <f t="array" ref="E19">D19-C19</f>
        <v>96849.5</v>
      </c>
      <c r="F19" t="s" s="343">
        <v>211</v>
      </c>
      <c r="G19" t="s" s="343">
        <v>211</v>
      </c>
      <c r="H19" t="s" s="337">
        <v>211</v>
      </c>
      <c r="I19" s="350"/>
      <c r="J19" s="350"/>
      <c r="K19" s="350"/>
      <c r="L19" s="350"/>
      <c r="M19" s="350"/>
      <c r="N19" s="350"/>
      <c r="O19" s="350"/>
      <c r="P19" s="323"/>
      <c r="Q19" s="324"/>
      <c r="R19" s="323"/>
      <c r="S19" s="325"/>
      <c r="T19" s="326"/>
      <c r="U19" s="327"/>
      <c r="V19" s="328"/>
      <c r="W19" s="329"/>
      <c r="X19" s="327"/>
      <c r="Y19" s="325"/>
      <c r="Z19" s="326"/>
      <c r="AA19" s="330"/>
      <c r="AB19" s="328"/>
      <c r="AC19" s="329"/>
      <c r="AD19" s="331"/>
      <c r="AE19" s="325"/>
      <c r="AF19" s="326"/>
    </row>
    <row r="20" ht="30.55" customHeight="1">
      <c r="B20" t="s" s="332">
        <v>229</v>
      </c>
      <c r="C20" s="333" cm="1">
        <f t="array" ref="C20">'BUDGET'!E185</f>
        <v>56500</v>
      </c>
      <c r="D20" s="334">
        <v>62300</v>
      </c>
      <c r="E20" s="334" cm="1">
        <f t="array" ref="E20">D20-C20</f>
        <v>5800</v>
      </c>
      <c r="F20" t="s" s="335">
        <v>211</v>
      </c>
      <c r="G20" t="s" s="336">
        <v>230</v>
      </c>
      <c r="H20" s="338" cm="1">
        <f t="array" ref="H20">#REF!</f>
      </c>
      <c r="I20" t="s" s="344">
        <v>20</v>
      </c>
      <c r="J20" s="345"/>
      <c r="K20" s="345"/>
      <c r="L20" s="345"/>
      <c r="M20" s="345"/>
      <c r="N20" s="345"/>
      <c r="O20" s="345"/>
      <c r="P20" s="323"/>
      <c r="Q20" s="324"/>
      <c r="R20" s="323"/>
      <c r="S20" s="325"/>
      <c r="T20" s="326"/>
      <c r="U20" s="327"/>
      <c r="V20" s="328"/>
      <c r="W20" s="329"/>
      <c r="X20" s="327"/>
      <c r="Y20" s="325"/>
      <c r="Z20" s="326"/>
      <c r="AA20" s="330"/>
      <c r="AB20" s="328"/>
      <c r="AC20" s="329"/>
      <c r="AD20" s="331"/>
      <c r="AE20" s="325"/>
      <c r="AF20" s="326"/>
    </row>
    <row r="21" ht="30.2" customHeight="1">
      <c r="B21" t="s" s="332">
        <v>231</v>
      </c>
      <c r="C21" s="342" cm="1">
        <f t="array" ref="C21">'BUDGET'!E132</f>
        <v>28268.25</v>
      </c>
      <c r="D21" s="342">
        <v>98696.125</v>
      </c>
      <c r="E21" s="342" cm="1">
        <f t="array" ref="E21">D21-C21</f>
        <v>70427.875</v>
      </c>
      <c r="F21" t="s" s="343">
        <v>211</v>
      </c>
      <c r="G21" t="s" s="343">
        <v>232</v>
      </c>
      <c r="H21" s="338" cm="1">
        <f t="array" ref="H21">'BUDGET'!E138</f>
        <v>-10254.75</v>
      </c>
      <c r="I21" t="s" s="344">
        <v>75</v>
      </c>
      <c r="J21" t="s" s="344">
        <v>233</v>
      </c>
      <c r="K21" s="345"/>
      <c r="L21" s="345"/>
      <c r="M21" s="345"/>
      <c r="N21" s="345"/>
      <c r="O21" s="345"/>
      <c r="P21" s="323"/>
      <c r="Q21" s="324"/>
      <c r="R21" s="323"/>
      <c r="S21" s="325"/>
      <c r="T21" s="326"/>
      <c r="U21" s="327"/>
      <c r="V21" s="328"/>
      <c r="W21" s="329"/>
      <c r="X21" s="327"/>
      <c r="Y21" s="325"/>
      <c r="Z21" s="326"/>
      <c r="AA21" s="330"/>
      <c r="AB21" s="328"/>
      <c r="AC21" s="329"/>
      <c r="AD21" s="331"/>
      <c r="AE21" s="325"/>
      <c r="AF21" s="326"/>
    </row>
    <row r="22" ht="30.2" customHeight="1">
      <c r="B22" t="s" s="332">
        <v>234</v>
      </c>
      <c r="C22" s="333" cm="1">
        <f t="array" ref="C22">'BUDGET'!E140</f>
        <v>27284</v>
      </c>
      <c r="D22" s="334">
        <v>52955</v>
      </c>
      <c r="E22" s="334" cm="1">
        <f t="array" ref="E22">D22-C22</f>
        <v>25671</v>
      </c>
      <c r="F22" t="s" s="335">
        <v>211</v>
      </c>
      <c r="G22" t="s" s="336">
        <v>235</v>
      </c>
      <c r="H22" s="338" cm="1">
        <f t="array" ref="H22">'BUDGET'!E147</f>
        <v>-9003.719999999999</v>
      </c>
      <c r="I22" t="s" s="344">
        <v>20</v>
      </c>
      <c r="J22" s="345"/>
      <c r="K22" s="345"/>
      <c r="L22" s="345"/>
      <c r="M22" s="345"/>
      <c r="N22" s="345"/>
      <c r="O22" s="345"/>
      <c r="P22" s="323"/>
      <c r="Q22" s="324"/>
      <c r="R22" s="323"/>
      <c r="S22" s="325"/>
      <c r="T22" s="326"/>
      <c r="U22" s="327"/>
      <c r="V22" s="328"/>
      <c r="W22" s="329"/>
      <c r="X22" s="327"/>
      <c r="Y22" s="325"/>
      <c r="Z22" s="326"/>
      <c r="AA22" s="330"/>
      <c r="AB22" s="328"/>
      <c r="AC22" s="329"/>
      <c r="AD22" s="331"/>
      <c r="AE22" s="325"/>
      <c r="AF22" s="326"/>
    </row>
    <row r="23" ht="30.2" customHeight="1">
      <c r="B23" t="s" s="332">
        <v>236</v>
      </c>
      <c r="C23" s="333" cm="1">
        <f t="array" ref="C23">'BUDGET'!E149</f>
        <v>29350</v>
      </c>
      <c r="D23" s="334"/>
      <c r="E23" s="334"/>
      <c r="F23" s="346"/>
      <c r="G23" t="s" s="336">
        <v>237</v>
      </c>
      <c r="H23" s="351">
        <v>0</v>
      </c>
      <c r="I23" s="345"/>
      <c r="J23" s="345"/>
      <c r="K23" s="345"/>
      <c r="L23" s="345"/>
      <c r="M23" s="345"/>
      <c r="N23" s="345"/>
      <c r="O23" s="345"/>
      <c r="P23" s="323"/>
      <c r="Q23" s="324"/>
      <c r="R23" s="323"/>
      <c r="S23" s="325"/>
      <c r="T23" s="326"/>
      <c r="U23" s="327"/>
      <c r="V23" s="328"/>
      <c r="W23" s="329"/>
      <c r="X23" s="327"/>
      <c r="Y23" s="325"/>
      <c r="Z23" s="326"/>
      <c r="AA23" s="330"/>
      <c r="AB23" s="328"/>
      <c r="AC23" s="329"/>
      <c r="AD23" s="331"/>
      <c r="AE23" s="325"/>
      <c r="AF23" s="326"/>
    </row>
    <row r="24" ht="30.2" customHeight="1">
      <c r="B24" t="s" s="352">
        <v>238</v>
      </c>
      <c r="C24" s="353" cm="1">
        <f t="array" ref="C24">'BUDGET'!E158</f>
        <v>25500</v>
      </c>
      <c r="D24" s="354"/>
      <c r="E24" s="354"/>
      <c r="F24" s="355"/>
      <c r="G24" t="s" s="356">
        <v>211</v>
      </c>
      <c r="H24" t="s" s="357">
        <v>211</v>
      </c>
      <c r="I24" s="345"/>
      <c r="J24" s="345"/>
      <c r="K24" s="345"/>
      <c r="L24" s="345"/>
      <c r="M24" s="345"/>
      <c r="N24" s="345"/>
      <c r="O24" s="345"/>
      <c r="P24" s="323"/>
      <c r="Q24" s="324"/>
      <c r="R24" s="323"/>
      <c r="S24" s="325"/>
      <c r="T24" s="326"/>
      <c r="U24" s="327"/>
      <c r="V24" s="328"/>
      <c r="W24" s="329"/>
      <c r="X24" s="327"/>
      <c r="Y24" s="325"/>
      <c r="Z24" s="326"/>
      <c r="AA24" s="330"/>
      <c r="AB24" s="328"/>
      <c r="AC24" s="329"/>
      <c r="AD24" s="331"/>
      <c r="AE24" s="325"/>
      <c r="AF24" s="326"/>
    </row>
    <row r="25" ht="30.9" customHeight="1">
      <c r="B25" t="s" s="358">
        <v>239</v>
      </c>
      <c r="C25" s="318" cm="1">
        <f t="array" ref="C25">SUM(C8:C24)</f>
        <v>1034458.93</v>
      </c>
      <c r="D25" s="319" cm="1">
        <f t="array" ref="D25">SUM(D8:D22)</f>
        <v>2915685.075</v>
      </c>
      <c r="E25" s="319" cm="1">
        <f t="array" ref="E25">SUM(E8:E22)</f>
        <v>1936076.145</v>
      </c>
      <c r="F25" s="318"/>
      <c r="G25" t="s" s="359">
        <v>211</v>
      </c>
      <c r="H25" s="360" cm="1">
        <f t="array" ref="H25">C25+SUM(H8:H24)</f>
      </c>
      <c r="I25" s="339"/>
      <c r="J25" s="339"/>
      <c r="K25" s="339"/>
      <c r="L25" s="339"/>
      <c r="M25" s="339"/>
      <c r="N25" s="339"/>
      <c r="O25" s="339"/>
      <c r="P25" s="361"/>
      <c r="Q25" s="362"/>
      <c r="R25" s="361"/>
      <c r="S25" s="363"/>
      <c r="T25" s="364"/>
      <c r="U25" s="365"/>
      <c r="V25" s="366"/>
      <c r="W25" s="367"/>
      <c r="X25" s="365"/>
      <c r="Y25" s="363"/>
      <c r="Z25" s="364"/>
      <c r="AA25" s="368"/>
      <c r="AB25" s="366"/>
      <c r="AC25" s="367"/>
      <c r="AD25" s="369"/>
      <c r="AE25" s="363"/>
      <c r="AF25" s="364"/>
    </row>
    <row r="26" ht="30.9" customHeight="1">
      <c r="B26" t="s" s="370">
        <v>240</v>
      </c>
      <c r="C26" s="342" cm="1">
        <f t="array" ref="C26">C25*0.2</f>
        <v>206891.786</v>
      </c>
      <c r="D26" s="342" cm="1">
        <f t="array" ref="D26">D25*0.2</f>
        <v>583137.015</v>
      </c>
      <c r="E26" s="342" cm="1">
        <f t="array" ref="E26">D26-C26</f>
        <v>376245.229</v>
      </c>
      <c r="F26" s="342"/>
      <c r="G26" t="s" s="371">
        <v>211</v>
      </c>
      <c r="H26" s="338" cm="1">
        <f t="array" ref="H26">H25*0.2</f>
      </c>
      <c r="I26" s="372"/>
      <c r="J26" s="372"/>
      <c r="K26" s="372"/>
      <c r="L26" s="372"/>
      <c r="M26" s="372"/>
      <c r="N26" s="372"/>
      <c r="O26" s="372"/>
      <c r="P26" s="373"/>
      <c r="Q26" s="374"/>
      <c r="R26" s="373"/>
      <c r="S26" s="375"/>
      <c r="T26" s="376"/>
      <c r="U26" s="377"/>
      <c r="V26" s="378"/>
      <c r="W26" s="379"/>
      <c r="X26" s="377"/>
      <c r="Y26" s="375"/>
      <c r="Z26" s="376"/>
      <c r="AA26" s="380"/>
      <c r="AB26" s="378"/>
      <c r="AC26" s="379"/>
      <c r="AD26" s="381"/>
      <c r="AE26" s="375"/>
      <c r="AF26" s="376"/>
    </row>
    <row r="27" ht="30.9" customHeight="1">
      <c r="B27" t="s" s="370">
        <v>160</v>
      </c>
      <c r="C27" s="342" cm="1">
        <f t="array" ref="C27">C25*0.015</f>
        <v>15516.88395</v>
      </c>
      <c r="D27" s="342"/>
      <c r="E27" s="342" cm="1">
        <f t="array" ref="E27">D27-C27</f>
        <v>-15516.88395</v>
      </c>
      <c r="F27" s="342"/>
      <c r="G27" t="s" s="371">
        <v>211</v>
      </c>
      <c r="H27" s="338" cm="1">
        <f t="array" ref="H27">H25*0.015</f>
      </c>
      <c r="I27" s="372"/>
      <c r="J27" s="372"/>
      <c r="K27" s="372"/>
      <c r="L27" s="372"/>
      <c r="M27" s="372"/>
      <c r="N27" s="372"/>
      <c r="O27" s="372"/>
      <c r="P27" s="373"/>
      <c r="Q27" s="374"/>
      <c r="R27" s="373"/>
      <c r="S27" s="375"/>
      <c r="T27" s="376"/>
      <c r="U27" s="377"/>
      <c r="V27" s="378"/>
      <c r="W27" s="379"/>
      <c r="X27" s="377"/>
      <c r="Y27" s="375"/>
      <c r="Z27" s="376"/>
      <c r="AA27" s="380"/>
      <c r="AB27" s="378"/>
      <c r="AC27" s="379"/>
      <c r="AD27" s="381"/>
      <c r="AE27" s="375"/>
      <c r="AF27" s="376"/>
    </row>
    <row r="28" ht="30.9" customHeight="1">
      <c r="B28" t="s" s="382">
        <v>241</v>
      </c>
      <c r="C28" s="383" cm="1">
        <f t="array" ref="C28">C25*0.0085</f>
        <v>8792.900905</v>
      </c>
      <c r="D28" s="383" cm="1">
        <f t="array" ref="D28">D25*0.005</f>
        <v>14578.425375</v>
      </c>
      <c r="E28" s="383" cm="1">
        <f t="array" ref="E28">D28-C28</f>
        <v>5785.52447</v>
      </c>
      <c r="F28" s="383"/>
      <c r="G28" t="s" s="384">
        <v>211</v>
      </c>
      <c r="H28" s="385" cm="1">
        <f t="array" ref="H28">H25*0.0085</f>
      </c>
      <c r="I28" s="372"/>
      <c r="J28" s="372"/>
      <c r="K28" s="372"/>
      <c r="L28" s="372"/>
      <c r="M28" s="372"/>
      <c r="N28" s="372"/>
      <c r="O28" s="372"/>
      <c r="P28" s="373"/>
      <c r="Q28" s="374"/>
      <c r="R28" s="373"/>
      <c r="S28" s="375"/>
      <c r="T28" s="376"/>
      <c r="U28" s="377"/>
      <c r="V28" s="378"/>
      <c r="W28" s="379"/>
      <c r="X28" s="377"/>
      <c r="Y28" s="375"/>
      <c r="Z28" s="376"/>
      <c r="AA28" s="380"/>
      <c r="AB28" s="378"/>
      <c r="AC28" s="379"/>
      <c r="AD28" s="381"/>
      <c r="AE28" s="375"/>
      <c r="AF28" s="376"/>
    </row>
    <row r="29" ht="30.9" customHeight="1">
      <c r="B29" t="s" s="386">
        <v>242</v>
      </c>
      <c r="C29" s="387" cm="1">
        <f t="array" ref="C29">SUM(C25:C28)</f>
        <v>1265660.500855</v>
      </c>
      <c r="D29" s="388" cm="1">
        <f t="array" ref="D29">SUM(D25:D28)</f>
        <v>3513400.515375</v>
      </c>
      <c r="E29" s="389" cm="1">
        <f t="array" ref="E29">SUM(E25:E28)</f>
        <v>2302590.01452</v>
      </c>
      <c r="F29" s="390"/>
      <c r="G29" t="s" s="391">
        <v>211</v>
      </c>
      <c r="H29" s="392" cm="1">
        <f t="array" ref="H29">SUM(H25:H28)</f>
      </c>
      <c r="I29" s="393"/>
      <c r="J29" s="393"/>
      <c r="K29" s="393"/>
      <c r="L29" s="393"/>
      <c r="M29" s="393"/>
      <c r="N29" s="393"/>
      <c r="O29" s="393"/>
      <c r="P29" s="394"/>
      <c r="Q29" s="395"/>
      <c r="R29" s="394"/>
      <c r="S29" s="396"/>
      <c r="T29" s="397"/>
      <c r="U29" s="398"/>
      <c r="V29" s="399"/>
      <c r="W29" s="400"/>
      <c r="X29" s="398"/>
      <c r="Y29" s="396"/>
      <c r="Z29" s="397"/>
      <c r="AA29" s="401"/>
      <c r="AB29" s="378"/>
      <c r="AC29" s="379"/>
      <c r="AD29" s="381"/>
      <c r="AE29" s="375"/>
      <c r="AF29" s="376"/>
    </row>
    <row r="30" ht="20.15" customHeight="1">
      <c r="B30" s="402"/>
      <c r="C30" s="403"/>
      <c r="D30" s="404"/>
      <c r="E30" s="405"/>
      <c r="F30" s="403"/>
      <c r="G30" s="403"/>
      <c r="H30" s="406"/>
      <c r="I30" s="407"/>
      <c r="J30" s="407"/>
      <c r="K30" s="407"/>
      <c r="L30" s="407"/>
      <c r="M30" s="407"/>
      <c r="N30" s="407"/>
      <c r="O30" s="407"/>
      <c r="P30" s="156"/>
      <c r="Q30" s="408"/>
      <c r="R30" s="409"/>
      <c r="S30" s="410"/>
      <c r="T30" s="411"/>
      <c r="U30" s="412"/>
      <c r="V30" s="413"/>
      <c r="W30" s="414"/>
      <c r="X30" s="412"/>
      <c r="Y30" s="410"/>
      <c r="Z30" s="411"/>
      <c r="AA30" s="415"/>
      <c r="AB30" s="416"/>
      <c r="AC30" s="417"/>
      <c r="AD30" s="418"/>
      <c r="AE30" s="419"/>
      <c r="AF30" s="420"/>
    </row>
    <row r="31" ht="20.15" customHeight="1">
      <c r="B31" s="421"/>
      <c r="C31" s="422"/>
      <c r="D31" s="422"/>
      <c r="E31" s="423"/>
      <c r="F31" s="422"/>
      <c r="G31" s="422"/>
      <c r="H31" s="422"/>
      <c r="I31" s="424"/>
      <c r="J31" s="424"/>
      <c r="K31" s="424"/>
      <c r="L31" s="424"/>
      <c r="M31" s="424"/>
      <c r="N31" s="424"/>
      <c r="O31" s="424"/>
      <c r="P31" s="156"/>
      <c r="Q31" s="425"/>
      <c r="R31" s="426"/>
      <c r="S31" s="427"/>
      <c r="T31" s="428"/>
      <c r="U31" s="429"/>
      <c r="V31" s="430"/>
      <c r="W31" s="431"/>
      <c r="X31" s="429"/>
      <c r="Y31" s="427"/>
      <c r="Z31" s="428"/>
      <c r="AA31" s="432"/>
      <c r="AB31" s="430"/>
      <c r="AC31" s="431"/>
      <c r="AD31" s="433"/>
      <c r="AE31" s="428"/>
      <c r="AF31" s="428"/>
    </row>
    <row r="32" ht="20.15" customHeight="1">
      <c r="B32" t="s" s="434">
        <v>243</v>
      </c>
      <c r="C32" s="435"/>
      <c r="D32" s="436"/>
      <c r="E32" s="437"/>
      <c r="F32" s="438"/>
      <c r="G32" s="435"/>
      <c r="H32" s="435"/>
      <c r="I32" s="96"/>
      <c r="J32" s="96"/>
      <c r="K32" s="96"/>
      <c r="L32" s="96"/>
      <c r="M32" s="96"/>
      <c r="N32" s="96"/>
      <c r="O32" s="96"/>
      <c r="P32" s="206"/>
      <c r="Q32" s="439"/>
      <c r="R32" s="440"/>
      <c r="S32" s="441"/>
      <c r="T32" s="442"/>
      <c r="U32" s="443"/>
      <c r="V32" s="444"/>
      <c r="W32" s="445"/>
      <c r="X32" s="443"/>
      <c r="Y32" s="441"/>
      <c r="Z32" s="442"/>
      <c r="AA32" s="443"/>
      <c r="AB32" s="444"/>
      <c r="AC32" s="445"/>
      <c r="AD32" s="446"/>
      <c r="AE32" s="441"/>
      <c r="AF32" s="442"/>
    </row>
    <row r="33" ht="17" customHeight="1">
      <c r="B33" t="s" s="294">
        <v>9</v>
      </c>
      <c r="C33" t="s" s="295">
        <v>196</v>
      </c>
      <c r="D33" t="s" s="447">
        <v>244</v>
      </c>
      <c r="E33" t="s" s="297">
        <v>198</v>
      </c>
      <c r="F33" t="s" s="447">
        <v>199</v>
      </c>
      <c r="G33" t="s" s="298">
        <v>200</v>
      </c>
      <c r="H33" t="s" s="299">
        <v>201</v>
      </c>
      <c r="I33" s="448"/>
      <c r="J33" s="448"/>
      <c r="K33" s="448"/>
      <c r="L33" s="448"/>
      <c r="M33" s="448"/>
      <c r="N33" s="448"/>
      <c r="O33" s="448"/>
      <c r="P33" s="449"/>
      <c r="Q33" s="450"/>
      <c r="R33" s="451"/>
      <c r="S33" s="452"/>
      <c r="T33" s="304"/>
      <c r="U33" s="453"/>
      <c r="V33" s="454"/>
      <c r="W33" s="304"/>
      <c r="X33" s="453"/>
      <c r="Y33" s="452"/>
      <c r="Z33" s="304"/>
      <c r="AA33" s="455"/>
      <c r="AB33" s="454"/>
      <c r="AC33" s="304"/>
      <c r="AD33" s="456"/>
      <c r="AE33" s="452"/>
      <c r="AF33" s="304"/>
    </row>
    <row r="34" ht="30.9" customHeight="1">
      <c r="B34" t="s" s="457">
        <v>209</v>
      </c>
      <c r="C34" s="310">
        <v>46098</v>
      </c>
      <c r="D34" t="s" s="458">
        <v>245</v>
      </c>
      <c r="E34" s="459"/>
      <c r="F34" s="460"/>
      <c r="G34" s="310">
        <v>46098</v>
      </c>
      <c r="H34" s="461">
        <v>46098</v>
      </c>
      <c r="I34" s="448"/>
      <c r="J34" s="448"/>
      <c r="K34" s="448"/>
      <c r="L34" s="448"/>
      <c r="M34" s="448"/>
      <c r="N34" s="448"/>
      <c r="O34" s="448"/>
      <c r="P34" s="304"/>
      <c r="Q34" s="450"/>
      <c r="R34" s="451"/>
      <c r="S34" s="452"/>
      <c r="T34" s="304"/>
      <c r="U34" s="453"/>
      <c r="V34" s="454"/>
      <c r="W34" s="304"/>
      <c r="X34" s="453"/>
      <c r="Y34" s="452"/>
      <c r="Z34" s="304"/>
      <c r="AA34" s="455"/>
      <c r="AB34" s="454"/>
      <c r="AC34" s="304"/>
      <c r="AD34" s="456"/>
      <c r="AE34" s="452"/>
      <c r="AF34" s="304"/>
    </row>
    <row r="35" ht="30.95" customHeight="1">
      <c r="B35" t="s" s="462">
        <v>246</v>
      </c>
      <c r="C35" s="463" cm="1">
        <f t="array" ref="C35">'BUDGET'!E165</f>
        <v>24055.24</v>
      </c>
      <c r="D35" s="464">
        <v>0</v>
      </c>
      <c r="E35" s="465" cm="1">
        <f t="array" ref="E35">D35-C35</f>
        <v>-24055.24</v>
      </c>
      <c r="F35" t="s" s="466">
        <v>211</v>
      </c>
      <c r="G35" t="s" s="467">
        <v>211</v>
      </c>
      <c r="H35" t="s" s="468">
        <v>211</v>
      </c>
      <c r="I35" s="448"/>
      <c r="J35" s="448"/>
      <c r="K35" s="448"/>
      <c r="L35" s="448"/>
      <c r="M35" s="448"/>
      <c r="N35" s="448"/>
      <c r="O35" s="448"/>
      <c r="P35" s="304"/>
      <c r="Q35" s="450"/>
      <c r="R35" s="451"/>
      <c r="S35" s="452"/>
      <c r="T35" s="304"/>
      <c r="U35" s="453"/>
      <c r="V35" s="454"/>
      <c r="W35" s="304"/>
      <c r="X35" s="453"/>
      <c r="Y35" s="452"/>
      <c r="Z35" s="304"/>
      <c r="AA35" s="455"/>
      <c r="AB35" s="454"/>
      <c r="AC35" s="304"/>
      <c r="AD35" s="456"/>
      <c r="AE35" s="452"/>
      <c r="AF35" s="304"/>
    </row>
    <row r="36" ht="30.2" customHeight="1">
      <c r="B36" t="s" s="469">
        <v>247</v>
      </c>
      <c r="C36" s="470" cm="1">
        <f t="array" ref="C36">'BUDGET'!E197</f>
        <v>15500</v>
      </c>
      <c r="D36" s="342">
        <v>58390</v>
      </c>
      <c r="E36" s="318" cm="1">
        <f t="array" ref="E36">D36-C36</f>
        <v>42890</v>
      </c>
      <c r="F36" t="s" s="471">
        <v>211</v>
      </c>
      <c r="G36" t="s" s="472">
        <v>248</v>
      </c>
      <c r="H36" t="s" s="473">
        <v>211</v>
      </c>
      <c r="I36" t="s" s="344">
        <v>20</v>
      </c>
      <c r="J36" s="345"/>
      <c r="K36" s="345"/>
      <c r="L36" s="345"/>
      <c r="M36" s="345"/>
      <c r="N36" s="345"/>
      <c r="O36" s="345"/>
      <c r="P36" s="323"/>
      <c r="Q36" s="474"/>
      <c r="R36" s="475"/>
      <c r="S36" s="325"/>
      <c r="T36" s="326"/>
      <c r="U36" s="327"/>
      <c r="V36" s="328"/>
      <c r="W36" s="329"/>
      <c r="X36" s="327"/>
      <c r="Y36" s="325"/>
      <c r="Z36" s="326"/>
      <c r="AA36" s="330"/>
      <c r="AB36" s="328"/>
      <c r="AC36" s="329"/>
      <c r="AD36" s="331"/>
      <c r="AE36" s="325"/>
      <c r="AF36" s="326"/>
    </row>
    <row r="37" ht="30.2" customHeight="1">
      <c r="B37" t="s" s="332">
        <v>249</v>
      </c>
      <c r="C37" s="333" cm="1">
        <f t="array" ref="C37">'BUDGET'!E201</f>
        <v>24000</v>
      </c>
      <c r="D37" s="334">
        <v>51400</v>
      </c>
      <c r="E37" s="334" cm="1">
        <f t="array" ref="E37">D37-C37</f>
        <v>27400</v>
      </c>
      <c r="F37" t="s" s="335">
        <v>211</v>
      </c>
      <c r="G37" t="s" s="476">
        <v>248</v>
      </c>
      <c r="H37" t="s" s="477">
        <v>211</v>
      </c>
      <c r="I37" s="345"/>
      <c r="J37" s="345"/>
      <c r="K37" s="345"/>
      <c r="L37" s="345"/>
      <c r="M37" s="345"/>
      <c r="N37" s="345"/>
      <c r="O37" s="345"/>
      <c r="P37" s="323"/>
      <c r="Q37" s="324"/>
      <c r="R37" s="323"/>
      <c r="S37" s="325"/>
      <c r="T37" s="326"/>
      <c r="U37" s="327"/>
      <c r="V37" s="328"/>
      <c r="W37" s="329"/>
      <c r="X37" s="327"/>
      <c r="Y37" s="325"/>
      <c r="Z37" s="326"/>
      <c r="AA37" s="330"/>
      <c r="AB37" s="328"/>
      <c r="AC37" s="329"/>
      <c r="AD37" s="331"/>
      <c r="AE37" s="325"/>
      <c r="AF37" s="326"/>
    </row>
    <row r="38" ht="30.2" customHeight="1">
      <c r="B38" t="s" s="478">
        <v>250</v>
      </c>
      <c r="C38" s="479" cm="1">
        <f t="array" ref="C38">'BUDGET'!E215</f>
        <v>8375</v>
      </c>
      <c r="D38" s="354"/>
      <c r="E38" s="354" cm="1">
        <f t="array" ref="E38">D38-C38</f>
        <v>-8375</v>
      </c>
      <c r="F38" s="480"/>
      <c r="G38" t="s" s="481">
        <v>248</v>
      </c>
      <c r="H38" t="s" s="482">
        <v>211</v>
      </c>
      <c r="I38" s="345"/>
      <c r="J38" s="345"/>
      <c r="K38" s="345"/>
      <c r="L38" s="345"/>
      <c r="M38" s="345"/>
      <c r="N38" s="345"/>
      <c r="O38" s="345"/>
      <c r="P38" s="323"/>
      <c r="Q38" s="483"/>
      <c r="R38" s="484"/>
      <c r="S38" s="325"/>
      <c r="T38" s="326"/>
      <c r="U38" s="327"/>
      <c r="V38" s="328"/>
      <c r="W38" s="329"/>
      <c r="X38" s="327"/>
      <c r="Y38" s="325"/>
      <c r="Z38" s="326"/>
      <c r="AA38" s="330"/>
      <c r="AB38" s="328"/>
      <c r="AC38" s="329"/>
      <c r="AD38" s="331"/>
      <c r="AE38" s="325"/>
      <c r="AF38" s="326"/>
    </row>
    <row r="39" ht="30.95" customHeight="1" hidden="1">
      <c r="B39" t="s" s="485">
        <v>210</v>
      </c>
      <c r="C39" s="486">
        <v>0</v>
      </c>
      <c r="D39" s="487">
        <v>0</v>
      </c>
      <c r="E39" s="487" cm="1">
        <f t="array" ref="E39">D39-C39</f>
        <v>0</v>
      </c>
      <c r="F39" t="s" s="488">
        <v>211</v>
      </c>
      <c r="G39" t="s" s="488">
        <v>211</v>
      </c>
      <c r="H39" s="489">
        <v>0</v>
      </c>
      <c r="I39" s="490"/>
      <c r="J39" s="490"/>
      <c r="K39" s="490"/>
      <c r="L39" s="490"/>
      <c r="M39" s="490"/>
      <c r="N39" s="490"/>
      <c r="O39" s="490"/>
      <c r="P39" s="491"/>
      <c r="Q39" s="492"/>
      <c r="R39" s="493"/>
      <c r="S39" s="494"/>
      <c r="T39" s="491"/>
      <c r="U39" s="495"/>
      <c r="V39" s="496"/>
      <c r="W39" s="491"/>
      <c r="X39" s="495"/>
      <c r="Y39" s="494"/>
      <c r="Z39" s="491"/>
      <c r="AA39" s="497"/>
      <c r="AB39" s="496"/>
      <c r="AC39" s="491"/>
      <c r="AD39" s="498"/>
      <c r="AE39" s="494"/>
      <c r="AF39" s="491"/>
    </row>
    <row r="40" ht="30.95" customHeight="1" hidden="1">
      <c r="B40" t="s" s="485">
        <v>212</v>
      </c>
      <c r="C40" s="486">
        <v>0</v>
      </c>
      <c r="D40" s="487">
        <v>0</v>
      </c>
      <c r="E40" s="487" cm="1">
        <f t="array" ref="E40">D40-C40</f>
        <v>0</v>
      </c>
      <c r="F40" t="s" s="488">
        <v>211</v>
      </c>
      <c r="G40" t="s" s="488">
        <v>211</v>
      </c>
      <c r="H40" s="489">
        <v>0</v>
      </c>
      <c r="I40" s="490"/>
      <c r="J40" s="490"/>
      <c r="K40" s="490"/>
      <c r="L40" s="490"/>
      <c r="M40" s="490"/>
      <c r="N40" s="490"/>
      <c r="O40" s="490"/>
      <c r="P40" s="491"/>
      <c r="Q40" s="492"/>
      <c r="R40" s="493"/>
      <c r="S40" s="494"/>
      <c r="T40" s="491"/>
      <c r="U40" s="495"/>
      <c r="V40" s="496"/>
      <c r="W40" s="491"/>
      <c r="X40" s="495"/>
      <c r="Y40" s="494"/>
      <c r="Z40" s="491"/>
      <c r="AA40" s="497"/>
      <c r="AB40" s="496"/>
      <c r="AC40" s="491"/>
      <c r="AD40" s="498"/>
      <c r="AE40" s="494"/>
      <c r="AF40" s="491"/>
    </row>
    <row r="41" ht="30.95" customHeight="1" hidden="1">
      <c r="B41" t="s" s="485">
        <v>214</v>
      </c>
      <c r="C41" s="486">
        <v>0</v>
      </c>
      <c r="D41" s="487">
        <v>0</v>
      </c>
      <c r="E41" s="487" cm="1">
        <f t="array" ref="E41">D41-C41</f>
        <v>0</v>
      </c>
      <c r="F41" t="s" s="488">
        <v>211</v>
      </c>
      <c r="G41" t="s" s="488">
        <v>211</v>
      </c>
      <c r="H41" s="489">
        <v>0</v>
      </c>
      <c r="I41" s="490"/>
      <c r="J41" s="490"/>
      <c r="K41" s="490"/>
      <c r="L41" s="490"/>
      <c r="M41" s="490"/>
      <c r="N41" s="490"/>
      <c r="O41" s="490"/>
      <c r="P41" s="491"/>
      <c r="Q41" s="492"/>
      <c r="R41" s="493"/>
      <c r="S41" s="494"/>
      <c r="T41" s="491"/>
      <c r="U41" s="495"/>
      <c r="V41" s="496"/>
      <c r="W41" s="491"/>
      <c r="X41" s="495"/>
      <c r="Y41" s="494"/>
      <c r="Z41" s="491"/>
      <c r="AA41" s="497"/>
      <c r="AB41" s="496"/>
      <c r="AC41" s="491"/>
      <c r="AD41" s="498"/>
      <c r="AE41" s="494"/>
      <c r="AF41" s="491"/>
    </row>
    <row r="42" ht="30.95" customHeight="1" hidden="1">
      <c r="B42" t="s" s="485">
        <v>216</v>
      </c>
      <c r="C42" s="486">
        <v>0</v>
      </c>
      <c r="D42" s="487">
        <v>0</v>
      </c>
      <c r="E42" s="487" cm="1">
        <f t="array" ref="E42">D42-C42</f>
        <v>0</v>
      </c>
      <c r="F42" t="s" s="488">
        <v>211</v>
      </c>
      <c r="G42" t="s" s="488">
        <v>211</v>
      </c>
      <c r="H42" s="489">
        <v>0</v>
      </c>
      <c r="I42" s="490"/>
      <c r="J42" s="490"/>
      <c r="K42" s="490"/>
      <c r="L42" s="490"/>
      <c r="M42" s="490"/>
      <c r="N42" s="490"/>
      <c r="O42" s="490"/>
      <c r="P42" s="491"/>
      <c r="Q42" s="492"/>
      <c r="R42" s="493"/>
      <c r="S42" s="494"/>
      <c r="T42" s="491"/>
      <c r="U42" s="495"/>
      <c r="V42" s="496"/>
      <c r="W42" s="491"/>
      <c r="X42" s="495"/>
      <c r="Y42" s="494"/>
      <c r="Z42" s="491"/>
      <c r="AA42" s="497"/>
      <c r="AB42" s="496"/>
      <c r="AC42" s="491"/>
      <c r="AD42" s="498"/>
      <c r="AE42" s="494"/>
      <c r="AF42" s="491"/>
    </row>
    <row r="43" ht="30.95" customHeight="1" hidden="1">
      <c r="B43" t="s" s="485">
        <v>217</v>
      </c>
      <c r="C43" s="486">
        <v>0</v>
      </c>
      <c r="D43" s="487">
        <v>0</v>
      </c>
      <c r="E43" s="487" cm="1">
        <f t="array" ref="E43">D43-C43</f>
        <v>0</v>
      </c>
      <c r="F43" t="s" s="488">
        <v>211</v>
      </c>
      <c r="G43" t="s" s="488">
        <v>211</v>
      </c>
      <c r="H43" s="489">
        <v>0</v>
      </c>
      <c r="I43" s="490"/>
      <c r="J43" s="490"/>
      <c r="K43" s="490"/>
      <c r="L43" s="490"/>
      <c r="M43" s="490"/>
      <c r="N43" s="490"/>
      <c r="O43" s="490"/>
      <c r="P43" s="491"/>
      <c r="Q43" s="492"/>
      <c r="R43" s="493"/>
      <c r="S43" s="494"/>
      <c r="T43" s="491"/>
      <c r="U43" s="495"/>
      <c r="V43" s="496"/>
      <c r="W43" s="491"/>
      <c r="X43" s="495"/>
      <c r="Y43" s="494"/>
      <c r="Z43" s="491"/>
      <c r="AA43" s="497"/>
      <c r="AB43" s="496"/>
      <c r="AC43" s="491"/>
      <c r="AD43" s="498"/>
      <c r="AE43" s="494"/>
      <c r="AF43" s="491"/>
    </row>
    <row r="44" ht="30.95" customHeight="1" hidden="1">
      <c r="B44" t="s" s="485">
        <v>218</v>
      </c>
      <c r="C44" s="486">
        <v>0</v>
      </c>
      <c r="D44" s="487">
        <v>0</v>
      </c>
      <c r="E44" s="487" cm="1">
        <f t="array" ref="E44">D44-C44</f>
        <v>0</v>
      </c>
      <c r="F44" t="s" s="488">
        <v>211</v>
      </c>
      <c r="G44" t="s" s="488">
        <v>211</v>
      </c>
      <c r="H44" s="489">
        <v>0</v>
      </c>
      <c r="I44" s="490"/>
      <c r="J44" s="490"/>
      <c r="K44" s="490"/>
      <c r="L44" s="490"/>
      <c r="M44" s="490"/>
      <c r="N44" s="490"/>
      <c r="O44" s="490"/>
      <c r="P44" s="491"/>
      <c r="Q44" s="492"/>
      <c r="R44" s="493"/>
      <c r="S44" s="494"/>
      <c r="T44" s="491"/>
      <c r="U44" s="495"/>
      <c r="V44" s="496"/>
      <c r="W44" s="491"/>
      <c r="X44" s="495"/>
      <c r="Y44" s="494"/>
      <c r="Z44" s="491"/>
      <c r="AA44" s="497"/>
      <c r="AB44" s="496"/>
      <c r="AC44" s="491"/>
      <c r="AD44" s="498"/>
      <c r="AE44" s="494"/>
      <c r="AF44" s="491"/>
    </row>
    <row r="45" ht="30.95" customHeight="1" hidden="1">
      <c r="B45" t="s" s="485">
        <v>222</v>
      </c>
      <c r="C45" s="486">
        <v>0</v>
      </c>
      <c r="D45" s="487">
        <v>0</v>
      </c>
      <c r="E45" s="487" cm="1">
        <f t="array" ref="E45">D45-C45</f>
        <v>0</v>
      </c>
      <c r="F45" t="s" s="488">
        <v>211</v>
      </c>
      <c r="G45" t="s" s="488">
        <v>211</v>
      </c>
      <c r="H45" s="489">
        <v>0</v>
      </c>
      <c r="I45" s="490"/>
      <c r="J45" s="490"/>
      <c r="K45" s="490"/>
      <c r="L45" s="490"/>
      <c r="M45" s="490"/>
      <c r="N45" s="490"/>
      <c r="O45" s="490"/>
      <c r="P45" s="491"/>
      <c r="Q45" s="492"/>
      <c r="R45" s="493"/>
      <c r="S45" s="494"/>
      <c r="T45" s="491"/>
      <c r="U45" s="495"/>
      <c r="V45" s="496"/>
      <c r="W45" s="491"/>
      <c r="X45" s="495"/>
      <c r="Y45" s="494"/>
      <c r="Z45" s="491"/>
      <c r="AA45" s="497"/>
      <c r="AB45" s="496"/>
      <c r="AC45" s="491"/>
      <c r="AD45" s="498"/>
      <c r="AE45" s="494"/>
      <c r="AF45" s="491"/>
    </row>
    <row r="46" ht="30.95" customHeight="1" hidden="1">
      <c r="B46" t="s" s="485">
        <v>234</v>
      </c>
      <c r="C46" s="486">
        <v>0</v>
      </c>
      <c r="D46" s="487">
        <v>0</v>
      </c>
      <c r="E46" s="487" cm="1">
        <f t="array" ref="E46">D46-C46</f>
        <v>0</v>
      </c>
      <c r="F46" t="s" s="488">
        <v>211</v>
      </c>
      <c r="G46" t="s" s="488">
        <v>211</v>
      </c>
      <c r="H46" s="489">
        <v>0</v>
      </c>
      <c r="I46" s="490"/>
      <c r="J46" s="490"/>
      <c r="K46" s="490"/>
      <c r="L46" s="490"/>
      <c r="M46" s="490"/>
      <c r="N46" s="490"/>
      <c r="O46" s="490"/>
      <c r="P46" s="491"/>
      <c r="Q46" s="492"/>
      <c r="R46" s="493"/>
      <c r="S46" s="494"/>
      <c r="T46" s="491"/>
      <c r="U46" s="495"/>
      <c r="V46" s="496"/>
      <c r="W46" s="491"/>
      <c r="X46" s="495"/>
      <c r="Y46" s="494"/>
      <c r="Z46" s="491"/>
      <c r="AA46" s="497"/>
      <c r="AB46" s="496"/>
      <c r="AC46" s="491"/>
      <c r="AD46" s="498"/>
      <c r="AE46" s="494"/>
      <c r="AF46" s="491"/>
    </row>
    <row r="47" ht="30.95" customHeight="1" hidden="1">
      <c r="B47" t="s" s="485">
        <v>224</v>
      </c>
      <c r="C47" s="486">
        <v>0</v>
      </c>
      <c r="D47" s="487">
        <v>0</v>
      </c>
      <c r="E47" s="487" cm="1">
        <f t="array" ref="E47">D47-C47</f>
        <v>0</v>
      </c>
      <c r="F47" t="s" s="488">
        <v>211</v>
      </c>
      <c r="G47" t="s" s="488">
        <v>211</v>
      </c>
      <c r="H47" s="489">
        <v>0</v>
      </c>
      <c r="I47" s="490"/>
      <c r="J47" s="490"/>
      <c r="K47" s="490"/>
      <c r="L47" s="490"/>
      <c r="M47" s="490"/>
      <c r="N47" s="490"/>
      <c r="O47" s="490"/>
      <c r="P47" s="491"/>
      <c r="Q47" s="492"/>
      <c r="R47" s="493"/>
      <c r="S47" s="494"/>
      <c r="T47" s="491"/>
      <c r="U47" s="495"/>
      <c r="V47" s="496"/>
      <c r="W47" s="491"/>
      <c r="X47" s="495"/>
      <c r="Y47" s="494"/>
      <c r="Z47" s="491"/>
      <c r="AA47" s="497"/>
      <c r="AB47" s="496"/>
      <c r="AC47" s="491"/>
      <c r="AD47" s="498"/>
      <c r="AE47" s="494"/>
      <c r="AF47" s="491"/>
    </row>
    <row r="48" ht="30.95" customHeight="1" hidden="1">
      <c r="B48" t="s" s="485">
        <v>226</v>
      </c>
      <c r="C48" s="486">
        <v>0</v>
      </c>
      <c r="D48" s="487">
        <v>0</v>
      </c>
      <c r="E48" s="487" cm="1">
        <f t="array" ref="E48">D48-C48</f>
        <v>0</v>
      </c>
      <c r="F48" t="s" s="488">
        <v>211</v>
      </c>
      <c r="G48" t="s" s="488">
        <v>211</v>
      </c>
      <c r="H48" s="489">
        <v>0</v>
      </c>
      <c r="I48" s="490"/>
      <c r="J48" s="490"/>
      <c r="K48" s="490"/>
      <c r="L48" s="490"/>
      <c r="M48" s="490"/>
      <c r="N48" s="490"/>
      <c r="O48" s="490"/>
      <c r="P48" s="491"/>
      <c r="Q48" s="492"/>
      <c r="R48" s="493"/>
      <c r="S48" s="494"/>
      <c r="T48" s="491"/>
      <c r="U48" s="495"/>
      <c r="V48" s="496"/>
      <c r="W48" s="491"/>
      <c r="X48" s="495"/>
      <c r="Y48" s="494"/>
      <c r="Z48" s="491"/>
      <c r="AA48" s="497"/>
      <c r="AB48" s="496"/>
      <c r="AC48" s="491"/>
      <c r="AD48" s="498"/>
      <c r="AE48" s="494"/>
      <c r="AF48" s="491"/>
    </row>
    <row r="49" ht="30.95" customHeight="1" hidden="1">
      <c r="B49" t="s" s="485">
        <v>223</v>
      </c>
      <c r="C49" s="486">
        <v>0</v>
      </c>
      <c r="D49" s="487">
        <v>0</v>
      </c>
      <c r="E49" s="487" cm="1">
        <f t="array" ref="E49">D49-C49</f>
        <v>0</v>
      </c>
      <c r="F49" t="s" s="488">
        <v>211</v>
      </c>
      <c r="G49" t="s" s="488">
        <v>211</v>
      </c>
      <c r="H49" s="489">
        <v>0</v>
      </c>
      <c r="I49" s="490"/>
      <c r="J49" s="490"/>
      <c r="K49" s="490"/>
      <c r="L49" s="490"/>
      <c r="M49" s="490"/>
      <c r="N49" s="490"/>
      <c r="O49" s="490"/>
      <c r="P49" s="491"/>
      <c r="Q49" s="492"/>
      <c r="R49" s="493"/>
      <c r="S49" s="494"/>
      <c r="T49" s="491"/>
      <c r="U49" s="495"/>
      <c r="V49" s="496"/>
      <c r="W49" s="491"/>
      <c r="X49" s="495"/>
      <c r="Y49" s="494"/>
      <c r="Z49" s="491"/>
      <c r="AA49" s="497"/>
      <c r="AB49" s="496"/>
      <c r="AC49" s="491"/>
      <c r="AD49" s="498"/>
      <c r="AE49" s="494"/>
      <c r="AF49" s="491"/>
    </row>
    <row r="50" ht="30.95" customHeight="1" hidden="1">
      <c r="B50" t="s" s="485">
        <v>231</v>
      </c>
      <c r="C50" s="486">
        <v>0</v>
      </c>
      <c r="D50" s="487">
        <v>0</v>
      </c>
      <c r="E50" s="487" cm="1">
        <f t="array" ref="E50">D50-C50</f>
        <v>0</v>
      </c>
      <c r="F50" t="s" s="488">
        <v>211</v>
      </c>
      <c r="G50" t="s" s="488">
        <v>211</v>
      </c>
      <c r="H50" s="489">
        <v>0</v>
      </c>
      <c r="I50" s="490"/>
      <c r="J50" s="490"/>
      <c r="K50" s="490"/>
      <c r="L50" s="490"/>
      <c r="M50" s="490"/>
      <c r="N50" s="490"/>
      <c r="O50" s="490"/>
      <c r="P50" s="491"/>
      <c r="Q50" s="492"/>
      <c r="R50" s="493"/>
      <c r="S50" s="494"/>
      <c r="T50" s="491"/>
      <c r="U50" s="495"/>
      <c r="V50" s="496"/>
      <c r="W50" s="491"/>
      <c r="X50" s="495"/>
      <c r="Y50" s="494"/>
      <c r="Z50" s="491"/>
      <c r="AA50" s="497"/>
      <c r="AB50" s="496"/>
      <c r="AC50" s="491"/>
      <c r="AD50" s="498"/>
      <c r="AE50" s="494"/>
      <c r="AF50" s="491"/>
    </row>
    <row r="51" ht="30.95" customHeight="1" hidden="1">
      <c r="B51" t="s" s="485">
        <v>247</v>
      </c>
      <c r="C51" s="486">
        <v>0</v>
      </c>
      <c r="D51" s="487">
        <v>0</v>
      </c>
      <c r="E51" s="487" cm="1">
        <f t="array" ref="E51">D51-C51</f>
        <v>0</v>
      </c>
      <c r="F51" t="s" s="488">
        <v>211</v>
      </c>
      <c r="G51" t="s" s="488">
        <v>211</v>
      </c>
      <c r="H51" s="489">
        <v>0</v>
      </c>
      <c r="I51" s="490"/>
      <c r="J51" s="490"/>
      <c r="K51" s="490"/>
      <c r="L51" s="490"/>
      <c r="M51" s="490"/>
      <c r="N51" s="490"/>
      <c r="O51" s="490"/>
      <c r="P51" s="491"/>
      <c r="Q51" s="492"/>
      <c r="R51" s="493"/>
      <c r="S51" s="494"/>
      <c r="T51" s="491"/>
      <c r="U51" s="495"/>
      <c r="V51" s="496"/>
      <c r="W51" s="491"/>
      <c r="X51" s="495"/>
      <c r="Y51" s="494"/>
      <c r="Z51" s="491"/>
      <c r="AA51" s="497"/>
      <c r="AB51" s="496"/>
      <c r="AC51" s="491"/>
      <c r="AD51" s="498"/>
      <c r="AE51" s="494"/>
      <c r="AF51" s="491"/>
    </row>
    <row r="52" ht="30.95" customHeight="1" hidden="1">
      <c r="B52" t="s" s="485">
        <v>251</v>
      </c>
      <c r="C52" s="486">
        <v>0</v>
      </c>
      <c r="D52" s="487">
        <v>0</v>
      </c>
      <c r="E52" s="487" cm="1">
        <f t="array" ref="E52">D52-C52</f>
        <v>0</v>
      </c>
      <c r="F52" t="s" s="488">
        <v>211</v>
      </c>
      <c r="G52" t="s" s="488">
        <v>211</v>
      </c>
      <c r="H52" s="489">
        <v>0</v>
      </c>
      <c r="I52" s="490"/>
      <c r="J52" s="490"/>
      <c r="K52" s="490"/>
      <c r="L52" s="490"/>
      <c r="M52" s="490"/>
      <c r="N52" s="490"/>
      <c r="O52" s="490"/>
      <c r="P52" s="491"/>
      <c r="Q52" s="492"/>
      <c r="R52" s="493"/>
      <c r="S52" s="494"/>
      <c r="T52" s="491"/>
      <c r="U52" s="495"/>
      <c r="V52" s="496"/>
      <c r="W52" s="491"/>
      <c r="X52" s="495"/>
      <c r="Y52" s="494"/>
      <c r="Z52" s="491"/>
      <c r="AA52" s="497"/>
      <c r="AB52" s="496"/>
      <c r="AC52" s="491"/>
      <c r="AD52" s="498"/>
      <c r="AE52" s="494"/>
      <c r="AF52" s="491"/>
    </row>
    <row r="53" ht="30.95" customHeight="1" hidden="1">
      <c r="B53" t="s" s="485">
        <v>228</v>
      </c>
      <c r="C53" s="486">
        <v>0</v>
      </c>
      <c r="D53" s="487">
        <v>0</v>
      </c>
      <c r="E53" s="487" cm="1">
        <f t="array" ref="E53">D53-C53</f>
        <v>0</v>
      </c>
      <c r="F53" t="s" s="488">
        <v>211</v>
      </c>
      <c r="G53" t="s" s="488">
        <v>211</v>
      </c>
      <c r="H53" s="489">
        <v>0</v>
      </c>
      <c r="I53" s="490"/>
      <c r="J53" s="490"/>
      <c r="K53" s="490"/>
      <c r="L53" s="490"/>
      <c r="M53" s="490"/>
      <c r="N53" s="490"/>
      <c r="O53" s="490"/>
      <c r="P53" s="491"/>
      <c r="Q53" s="492"/>
      <c r="R53" s="493"/>
      <c r="S53" s="494"/>
      <c r="T53" s="491"/>
      <c r="U53" s="495"/>
      <c r="V53" s="496"/>
      <c r="W53" s="491"/>
      <c r="X53" s="495"/>
      <c r="Y53" s="494"/>
      <c r="Z53" s="491"/>
      <c r="AA53" s="497"/>
      <c r="AB53" s="496"/>
      <c r="AC53" s="491"/>
      <c r="AD53" s="498"/>
      <c r="AE53" s="494"/>
      <c r="AF53" s="491"/>
    </row>
    <row r="54" ht="30.95" customHeight="1" hidden="1">
      <c r="B54" t="s" s="485">
        <v>229</v>
      </c>
      <c r="C54" s="486">
        <v>0</v>
      </c>
      <c r="D54" s="487">
        <v>0</v>
      </c>
      <c r="E54" s="487" cm="1">
        <f t="array" ref="E54">D54-C54</f>
        <v>0</v>
      </c>
      <c r="F54" t="s" s="488">
        <v>211</v>
      </c>
      <c r="G54" t="s" s="488">
        <v>211</v>
      </c>
      <c r="H54" s="489">
        <v>0</v>
      </c>
      <c r="I54" s="490"/>
      <c r="J54" s="490"/>
      <c r="K54" s="490"/>
      <c r="L54" s="490"/>
      <c r="M54" s="490"/>
      <c r="N54" s="490"/>
      <c r="O54" s="490"/>
      <c r="P54" s="491"/>
      <c r="Q54" s="492"/>
      <c r="R54" s="493"/>
      <c r="S54" s="494"/>
      <c r="T54" s="491"/>
      <c r="U54" s="495"/>
      <c r="V54" s="496"/>
      <c r="W54" s="491"/>
      <c r="X54" s="495"/>
      <c r="Y54" s="494"/>
      <c r="Z54" s="491"/>
      <c r="AA54" s="497"/>
      <c r="AB54" s="496"/>
      <c r="AC54" s="491"/>
      <c r="AD54" s="498"/>
      <c r="AE54" s="494"/>
      <c r="AF54" s="491"/>
    </row>
    <row r="55" ht="30.95" customHeight="1">
      <c r="B55" t="s" s="499">
        <v>239</v>
      </c>
      <c r="C55" s="500" cm="1">
        <f t="array" ref="C55">SUM(C35:C54)</f>
        <v>71930.240000000005</v>
      </c>
      <c r="D55" s="388" cm="1">
        <f t="array" ref="D55">SUM(D35:D54)</f>
        <v>109790</v>
      </c>
      <c r="E55" s="388" cm="1">
        <f t="array" ref="E55">SUM(E35:E54)</f>
        <v>37859.76</v>
      </c>
      <c r="F55" s="388" cm="1">
        <f t="array" ref="F55">SUM(F35:F54)</f>
        <v>0</v>
      </c>
      <c r="G55" t="s" s="501">
        <v>211</v>
      </c>
      <c r="H55" t="s" s="502">
        <v>211</v>
      </c>
      <c r="I55" s="503"/>
      <c r="J55" s="503"/>
      <c r="K55" s="503"/>
      <c r="L55" s="503"/>
      <c r="M55" s="503"/>
      <c r="N55" s="503"/>
      <c r="O55" s="503"/>
      <c r="P55" s="504"/>
      <c r="Q55" s="505"/>
      <c r="R55" s="506"/>
      <c r="S55" s="507"/>
      <c r="T55" s="504"/>
      <c r="U55" s="508"/>
      <c r="V55" s="509"/>
      <c r="W55" s="504"/>
      <c r="X55" s="508"/>
      <c r="Y55" s="507"/>
      <c r="Z55" s="504"/>
      <c r="AA55" s="510"/>
      <c r="AB55" s="509"/>
      <c r="AC55" s="504"/>
      <c r="AD55" s="511"/>
      <c r="AE55" s="507"/>
      <c r="AF55" s="504"/>
    </row>
    <row r="56" ht="30.95" customHeight="1">
      <c r="B56" t="s" s="370">
        <v>240</v>
      </c>
      <c r="C56" s="512" cm="1">
        <f t="array" ref="C56">C55*0.2</f>
        <v>14386.048</v>
      </c>
      <c r="D56" s="513" cm="1">
        <f t="array" ref="D56">D55*0.2</f>
        <v>21958</v>
      </c>
      <c r="E56" s="513" cm="1">
        <f t="array" ref="E56">D56-C56</f>
        <v>7571.952</v>
      </c>
      <c r="F56" s="513" cm="1">
        <f t="array" ref="F56">F55*0.2</f>
        <v>0</v>
      </c>
      <c r="G56" t="s" s="371">
        <v>211</v>
      </c>
      <c r="H56" t="s" s="514">
        <v>211</v>
      </c>
      <c r="I56" s="503"/>
      <c r="J56" s="503"/>
      <c r="K56" s="503"/>
      <c r="L56" s="503"/>
      <c r="M56" s="503"/>
      <c r="N56" s="503"/>
      <c r="O56" s="503"/>
      <c r="P56" s="504"/>
      <c r="Q56" s="505"/>
      <c r="R56" s="506"/>
      <c r="S56" s="507"/>
      <c r="T56" s="504"/>
      <c r="U56" s="508"/>
      <c r="V56" s="509"/>
      <c r="W56" s="504"/>
      <c r="X56" s="508"/>
      <c r="Y56" s="507"/>
      <c r="Z56" s="504"/>
      <c r="AA56" s="510"/>
      <c r="AB56" s="509"/>
      <c r="AC56" s="504"/>
      <c r="AD56" s="511"/>
      <c r="AE56" s="507"/>
      <c r="AF56" s="504"/>
    </row>
    <row r="57" ht="30.95" customHeight="1">
      <c r="B57" t="s" s="370">
        <v>160</v>
      </c>
      <c r="C57" s="515" cm="1">
        <f t="array" ref="C57">C55*0.015</f>
        <v>1078.9536</v>
      </c>
      <c r="D57" s="513"/>
      <c r="E57" s="513" cm="1">
        <f t="array" ref="E57">D57-C57</f>
        <v>-1078.9536</v>
      </c>
      <c r="F57" s="513"/>
      <c r="G57" t="s" s="371">
        <v>211</v>
      </c>
      <c r="H57" t="s" s="514">
        <v>211</v>
      </c>
      <c r="I57" s="503"/>
      <c r="J57" s="503"/>
      <c r="K57" s="503"/>
      <c r="L57" s="503"/>
      <c r="M57" s="503"/>
      <c r="N57" s="503"/>
      <c r="O57" s="503"/>
      <c r="P57" s="504"/>
      <c r="Q57" s="505"/>
      <c r="R57" s="506"/>
      <c r="S57" s="507"/>
      <c r="T57" s="504"/>
      <c r="U57" s="508"/>
      <c r="V57" s="509"/>
      <c r="W57" s="504"/>
      <c r="X57" s="508"/>
      <c r="Y57" s="507"/>
      <c r="Z57" s="504"/>
      <c r="AA57" s="510"/>
      <c r="AB57" s="509"/>
      <c r="AC57" s="504"/>
      <c r="AD57" s="511"/>
      <c r="AE57" s="507"/>
      <c r="AF57" s="504"/>
    </row>
    <row r="58" ht="30.95" customHeight="1">
      <c r="B58" t="s" s="516">
        <v>241</v>
      </c>
      <c r="C58" s="517" cm="1">
        <f t="array" ref="C58">C55*0.0085</f>
        <v>611.4070400000001</v>
      </c>
      <c r="D58" s="518" cm="1">
        <f t="array" ref="D58">D55*0.005</f>
        <v>548.95</v>
      </c>
      <c r="E58" s="518" cm="1">
        <f t="array" ref="E58">D58-C58</f>
        <v>-62.45704</v>
      </c>
      <c r="F58" s="518" cm="1">
        <f t="array" ref="F58">F55*0.005</f>
        <v>0</v>
      </c>
      <c r="G58" t="s" s="519">
        <v>211</v>
      </c>
      <c r="H58" t="s" s="520">
        <v>211</v>
      </c>
      <c r="I58" s="503"/>
      <c r="J58" s="503"/>
      <c r="K58" s="503"/>
      <c r="L58" s="503"/>
      <c r="M58" s="503"/>
      <c r="N58" s="503"/>
      <c r="O58" s="503"/>
      <c r="P58" s="504"/>
      <c r="Q58" s="505"/>
      <c r="R58" s="506"/>
      <c r="S58" s="507"/>
      <c r="T58" s="504"/>
      <c r="U58" s="508"/>
      <c r="V58" s="509"/>
      <c r="W58" s="504"/>
      <c r="X58" s="508"/>
      <c r="Y58" s="507"/>
      <c r="Z58" s="504"/>
      <c r="AA58" s="510"/>
      <c r="AB58" s="509"/>
      <c r="AC58" s="504"/>
      <c r="AD58" s="511"/>
      <c r="AE58" s="507"/>
      <c r="AF58" s="504"/>
    </row>
    <row r="59" ht="30.95" customHeight="1">
      <c r="B59" t="s" s="521">
        <v>242</v>
      </c>
      <c r="C59" s="387" cm="1">
        <f t="array" ref="C59">SUM(C55:C58)</f>
        <v>88006.64864</v>
      </c>
      <c r="D59" s="389" cm="1">
        <f t="array" ref="D59">SUM(D55:D58)</f>
        <v>132296.95</v>
      </c>
      <c r="E59" s="389" cm="1">
        <f t="array" ref="E59">SUM(E55:E58)</f>
        <v>44290.30136</v>
      </c>
      <c r="F59" s="389" cm="1">
        <f t="array" ref="F59">SUM(F58)</f>
        <v>0</v>
      </c>
      <c r="G59" t="s" s="522">
        <v>211</v>
      </c>
      <c r="H59" t="s" s="523">
        <v>211</v>
      </c>
      <c r="I59" s="503"/>
      <c r="J59" s="503"/>
      <c r="K59" s="503"/>
      <c r="L59" s="503"/>
      <c r="M59" s="503"/>
      <c r="N59" s="503"/>
      <c r="O59" s="503"/>
      <c r="P59" s="504"/>
      <c r="Q59" s="505"/>
      <c r="R59" s="506"/>
      <c r="S59" s="507"/>
      <c r="T59" s="504"/>
      <c r="U59" s="508"/>
      <c r="V59" s="509"/>
      <c r="W59" s="504"/>
      <c r="X59" s="508"/>
      <c r="Y59" s="507"/>
      <c r="Z59" s="504"/>
      <c r="AA59" s="510"/>
      <c r="AB59" s="509"/>
      <c r="AC59" s="504"/>
      <c r="AD59" s="511"/>
      <c r="AE59" s="507"/>
      <c r="AF59" s="504"/>
    </row>
    <row r="60" ht="14" customHeight="1">
      <c r="B60" s="524"/>
      <c r="C60" s="525"/>
      <c r="D60" s="526"/>
      <c r="E60" s="526"/>
      <c r="F60" s="526"/>
      <c r="G60" s="526"/>
      <c r="H60" s="526"/>
      <c r="I60" s="527"/>
      <c r="J60" s="527"/>
      <c r="K60" s="527"/>
      <c r="L60" s="527"/>
      <c r="M60" s="527"/>
      <c r="N60" s="527"/>
      <c r="O60" s="527"/>
      <c r="P60" s="273"/>
      <c r="Q60" s="528"/>
      <c r="R60" s="440"/>
      <c r="S60" s="529"/>
      <c r="T60" s="273"/>
      <c r="U60" s="530"/>
      <c r="V60" s="531"/>
      <c r="W60" s="273"/>
      <c r="X60" s="530"/>
      <c r="Y60" s="529"/>
      <c r="Z60" s="273"/>
      <c r="AA60" s="532"/>
      <c r="AB60" s="531"/>
      <c r="AC60" s="273"/>
      <c r="AD60" s="533"/>
      <c r="AE60" s="529"/>
      <c r="AF60" s="273"/>
    </row>
    <row r="61" ht="14" customHeight="1">
      <c r="B61" s="534"/>
      <c r="C61" s="535"/>
      <c r="D61" s="273"/>
      <c r="E61" s="273"/>
      <c r="F61" s="273"/>
      <c r="G61" s="273"/>
      <c r="H61" s="273"/>
      <c r="I61" s="527"/>
      <c r="J61" s="527"/>
      <c r="K61" s="527"/>
      <c r="L61" s="527"/>
      <c r="M61" s="527"/>
      <c r="N61" s="527"/>
      <c r="O61" s="527"/>
      <c r="P61" s="273"/>
      <c r="Q61" s="528"/>
      <c r="R61" s="440"/>
      <c r="S61" s="529"/>
      <c r="T61" s="273"/>
      <c r="U61" s="530"/>
      <c r="V61" s="531"/>
      <c r="W61" s="273"/>
      <c r="X61" s="530"/>
      <c r="Y61" s="529"/>
      <c r="Z61" s="273"/>
      <c r="AA61" s="532"/>
      <c r="AB61" s="531"/>
      <c r="AC61" s="273"/>
      <c r="AD61" s="533"/>
      <c r="AE61" s="529"/>
      <c r="AF61" s="273"/>
    </row>
    <row r="62" ht="14" customHeight="1">
      <c r="B62" s="534"/>
      <c r="C62" s="535"/>
      <c r="D62" s="273"/>
      <c r="E62" s="273"/>
      <c r="F62" s="273"/>
      <c r="G62" s="273"/>
      <c r="H62" s="273"/>
      <c r="I62" s="527"/>
      <c r="J62" s="527"/>
      <c r="K62" s="527"/>
      <c r="L62" s="527"/>
      <c r="M62" s="527"/>
      <c r="N62" s="527"/>
      <c r="O62" s="527"/>
      <c r="P62" s="273"/>
      <c r="Q62" s="528"/>
      <c r="R62" s="440"/>
      <c r="S62" s="529"/>
      <c r="T62" s="273"/>
      <c r="U62" s="530"/>
      <c r="V62" s="531"/>
      <c r="W62" s="273"/>
      <c r="X62" s="530"/>
      <c r="Y62" s="529"/>
      <c r="Z62" s="273"/>
      <c r="AA62" s="532"/>
      <c r="AB62" s="531"/>
      <c r="AC62" s="273"/>
      <c r="AD62" s="533"/>
      <c r="AE62" s="529"/>
      <c r="AF62" s="273"/>
    </row>
    <row r="63" ht="14" customHeight="1">
      <c r="B63" s="534"/>
      <c r="C63" s="535"/>
      <c r="D63" s="273"/>
      <c r="E63" s="273"/>
      <c r="F63" s="273"/>
      <c r="G63" s="273"/>
      <c r="H63" s="273"/>
      <c r="I63" s="527"/>
      <c r="J63" s="527"/>
      <c r="K63" s="527"/>
      <c r="L63" s="527"/>
      <c r="M63" s="527"/>
      <c r="N63" s="527"/>
      <c r="O63" s="527"/>
      <c r="P63" s="273"/>
      <c r="Q63" s="528"/>
      <c r="R63" s="440"/>
      <c r="S63" s="529"/>
      <c r="T63" s="273"/>
      <c r="U63" s="530"/>
      <c r="V63" s="531"/>
      <c r="W63" s="273"/>
      <c r="X63" s="530"/>
      <c r="Y63" s="529"/>
      <c r="Z63" s="273"/>
      <c r="AA63" s="532"/>
      <c r="AB63" s="531"/>
      <c r="AC63" s="273"/>
      <c r="AD63" s="533"/>
      <c r="AE63" s="529"/>
      <c r="AF63" s="273"/>
    </row>
    <row r="64" ht="14" customHeight="1">
      <c r="B64" s="534"/>
      <c r="C64" s="535"/>
      <c r="D64" s="273"/>
      <c r="E64" s="273"/>
      <c r="F64" s="273"/>
      <c r="G64" s="273"/>
      <c r="H64" s="273"/>
      <c r="I64" s="527"/>
      <c r="J64" s="527"/>
      <c r="K64" s="527"/>
      <c r="L64" s="527"/>
      <c r="M64" s="527"/>
      <c r="N64" s="527"/>
      <c r="O64" s="527"/>
      <c r="P64" s="273"/>
      <c r="Q64" s="528"/>
      <c r="R64" s="440"/>
      <c r="S64" s="529"/>
      <c r="T64" s="273"/>
      <c r="U64" s="530"/>
      <c r="V64" s="531"/>
      <c r="W64" s="273"/>
      <c r="X64" s="530"/>
      <c r="Y64" s="529"/>
      <c r="Z64" s="273"/>
      <c r="AA64" s="532"/>
      <c r="AB64" s="531"/>
      <c r="AC64" s="273"/>
      <c r="AD64" s="533"/>
      <c r="AE64" s="529"/>
      <c r="AF64" s="273"/>
    </row>
    <row r="65" ht="14" customHeight="1">
      <c r="B65" s="534"/>
      <c r="C65" s="535"/>
      <c r="D65" s="273"/>
      <c r="E65" s="273"/>
      <c r="F65" s="273"/>
      <c r="G65" s="273"/>
      <c r="H65" s="273"/>
      <c r="I65" s="527"/>
      <c r="J65" s="527"/>
      <c r="K65" s="527"/>
      <c r="L65" s="527"/>
      <c r="M65" s="527"/>
      <c r="N65" s="527"/>
      <c r="O65" s="527"/>
      <c r="P65" s="273"/>
      <c r="Q65" s="528"/>
      <c r="R65" s="440"/>
      <c r="S65" s="529"/>
      <c r="T65" s="273"/>
      <c r="U65" s="530"/>
      <c r="V65" s="531"/>
      <c r="W65" s="273"/>
      <c r="X65" s="530"/>
      <c r="Y65" s="529"/>
      <c r="Z65" s="273"/>
      <c r="AA65" s="532"/>
      <c r="AB65" s="531"/>
      <c r="AC65" s="273"/>
      <c r="AD65" s="533"/>
      <c r="AE65" s="529"/>
      <c r="AF65" s="273"/>
    </row>
    <row r="66" ht="14" customHeight="1">
      <c r="B66" s="534"/>
      <c r="C66" s="535"/>
      <c r="D66" s="273"/>
      <c r="E66" s="273"/>
      <c r="F66" s="273"/>
      <c r="G66" s="273"/>
      <c r="H66" s="273"/>
      <c r="I66" s="527"/>
      <c r="J66" s="527"/>
      <c r="K66" s="527"/>
      <c r="L66" s="527"/>
      <c r="M66" s="527"/>
      <c r="N66" s="527"/>
      <c r="O66" s="527"/>
      <c r="P66" s="273"/>
      <c r="Q66" s="528"/>
      <c r="R66" s="440"/>
      <c r="S66" s="529"/>
      <c r="T66" s="273"/>
      <c r="U66" s="530"/>
      <c r="V66" s="531"/>
      <c r="W66" s="273"/>
      <c r="X66" s="530"/>
      <c r="Y66" s="529"/>
      <c r="Z66" s="273"/>
      <c r="AA66" s="532"/>
      <c r="AB66" s="531"/>
      <c r="AC66" s="273"/>
      <c r="AD66" s="533"/>
      <c r="AE66" s="529"/>
      <c r="AF66" s="273"/>
    </row>
    <row r="67" ht="14" customHeight="1">
      <c r="B67" s="534"/>
      <c r="C67" s="535"/>
      <c r="D67" s="273"/>
      <c r="E67" s="273"/>
      <c r="F67" s="273"/>
      <c r="G67" s="273"/>
      <c r="H67" s="273"/>
      <c r="I67" s="527"/>
      <c r="J67" s="527"/>
      <c r="K67" s="527"/>
      <c r="L67" s="527"/>
      <c r="M67" s="527"/>
      <c r="N67" s="527"/>
      <c r="O67" s="527"/>
      <c r="P67" s="273"/>
      <c r="Q67" s="528"/>
      <c r="R67" s="440"/>
      <c r="S67" s="529"/>
      <c r="T67" s="273"/>
      <c r="U67" s="530"/>
      <c r="V67" s="531"/>
      <c r="W67" s="273"/>
      <c r="X67" s="530"/>
      <c r="Y67" s="529"/>
      <c r="Z67" s="273"/>
      <c r="AA67" s="532"/>
      <c r="AB67" s="531"/>
      <c r="AC67" s="273"/>
      <c r="AD67" s="533"/>
      <c r="AE67" s="529"/>
      <c r="AF67" s="273"/>
    </row>
  </sheetData>
  <pageMargins left="0.5" right="0.5" top="1" bottom="1" header="0.75" footer="0.666667"/>
  <pageSetup firstPageNumber="1" fitToHeight="1" fitToWidth="1" scale="100" useFirstPageNumber="0" orientation="portrait" pageOrder="downThenOver"/>
  <headerFooter>
    <oddHeader>&amp;C&amp;"Calibri,Italic"&amp;12&amp;U&amp;K000000Schematic Design Budget 1 
&amp;UScope Summary &amp; Value Engineering Options</oddHeader>
    <oddFooter>&amp;L&amp;"Moon 2.0 Regular,Regular"&amp;9&amp;K000000MARPA&amp;"Gill Sans Light,Regular"
03.17.26&amp;R&amp;"Gill Sans Light,Regular"&amp;12&amp;K000000&amp;P</oddFooter>
  </headerFooter>
  <drawing r:id="rId1"/>
  <legacyDrawing r:id="rId2"/>
</worksheet>
</file>

<file path=xl/worksheets/sheet4.xml><?xml version="1.0" encoding="utf-8"?>
<worksheet xmlns:r="http://schemas.openxmlformats.org/officeDocument/2006/relationships" xmlns="http://schemas.openxmlformats.org/spreadsheetml/2006/main">
  <dimension ref="A1:I26"/>
  <sheetViews>
    <sheetView workbookViewId="0" showGridLines="0" defaultGridColor="1"/>
  </sheetViews>
  <sheetFormatPr defaultColWidth="10.8333" defaultRowHeight="11.05" customHeight="1" outlineLevelRow="0" outlineLevelCol="0"/>
  <cols>
    <col min="1" max="1" width="45.4219" style="536" customWidth="1"/>
    <col min="2" max="2" width="3.67188" style="536" customWidth="1"/>
    <col min="3" max="3" width="4.5" style="536" customWidth="1"/>
    <col min="4" max="4" width="9.46094" style="536" customWidth="1"/>
    <col min="5" max="5" width="10.1719" style="536" customWidth="1"/>
    <col min="6" max="9" hidden="1" width="10.8333" style="536" customWidth="1"/>
    <col min="10" max="16384" width="10.8516" style="536" customWidth="1"/>
  </cols>
  <sheetData>
    <row r="1" ht="18" customHeight="1">
      <c r="A1" t="s" s="7">
        <v>6</v>
      </c>
      <c r="B1" s="8"/>
      <c r="C1" s="9"/>
      <c r="D1" s="10"/>
      <c r="E1" s="10"/>
      <c r="F1" s="9"/>
      <c r="G1" s="9"/>
      <c r="H1" s="9"/>
      <c r="I1" s="9"/>
    </row>
    <row r="2" ht="18" customHeight="1">
      <c r="A2" t="s" s="11">
        <v>253</v>
      </c>
      <c r="B2" s="8"/>
      <c r="C2" s="9"/>
      <c r="D2" s="10"/>
      <c r="E2" s="10"/>
      <c r="F2" s="9"/>
      <c r="G2" s="9"/>
      <c r="H2" s="9"/>
      <c r="I2" s="9"/>
    </row>
    <row r="3" ht="14" customHeight="1">
      <c r="A3" t="s" s="11">
        <v>8</v>
      </c>
      <c r="B3" s="8"/>
      <c r="C3" s="9"/>
      <c r="D3" s="10"/>
      <c r="E3" s="10"/>
      <c r="F3" s="9"/>
      <c r="G3" s="9"/>
      <c r="H3" s="9"/>
      <c r="I3" s="9"/>
    </row>
    <row r="4" ht="14" customHeight="1">
      <c r="A4" t="s" s="537">
        <v>254</v>
      </c>
      <c r="B4" s="8"/>
      <c r="C4" s="9"/>
      <c r="D4" s="10"/>
      <c r="E4" s="10"/>
      <c r="F4" s="9"/>
      <c r="G4" s="9"/>
      <c r="H4" s="9"/>
      <c r="I4" s="9"/>
    </row>
    <row r="5" ht="14" customHeight="1">
      <c r="A5" s="538"/>
      <c r="B5" s="13"/>
      <c r="C5" s="539"/>
      <c r="D5" s="539"/>
      <c r="E5" s="539"/>
      <c r="F5" t="s" s="16">
        <v>15</v>
      </c>
      <c r="G5" s="14"/>
      <c r="H5" t="s" s="16">
        <v>15</v>
      </c>
      <c r="I5" t="s" s="16">
        <v>16</v>
      </c>
    </row>
    <row r="6" ht="14" customHeight="1">
      <c r="A6" t="s" s="240">
        <v>255</v>
      </c>
      <c r="B6" s="241"/>
      <c r="C6" s="242"/>
      <c r="D6" s="243"/>
      <c r="E6" s="244"/>
      <c r="F6" s="64"/>
      <c r="G6" s="64"/>
      <c r="H6" s="64"/>
      <c r="I6" s="64"/>
    </row>
    <row r="7" ht="14" customHeight="1">
      <c r="A7" s="540"/>
      <c r="B7" s="541"/>
      <c r="C7" s="247"/>
      <c r="D7" s="542"/>
      <c r="E7" s="542"/>
      <c r="F7" s="64"/>
      <c r="G7" s="64"/>
      <c r="H7" s="64"/>
      <c r="I7" s="64"/>
    </row>
    <row r="8" ht="14" customHeight="1">
      <c r="A8" s="191"/>
      <c r="B8" s="543"/>
      <c r="C8" s="193"/>
      <c r="D8" t="s" s="544">
        <v>256</v>
      </c>
      <c r="E8" s="545" cm="1">
        <f t="array" ref="E8">6480</f>
        <v>6480</v>
      </c>
      <c r="F8" s="64"/>
      <c r="G8" s="64"/>
      <c r="H8" s="64"/>
      <c r="I8" s="64"/>
    </row>
    <row r="9" ht="14" customHeight="1">
      <c r="A9" s="546"/>
      <c r="B9" s="238"/>
      <c r="C9" s="193"/>
      <c r="D9" t="s" s="544">
        <v>257</v>
      </c>
      <c r="E9" s="545">
        <v>16500</v>
      </c>
      <c r="F9" s="64"/>
      <c r="G9" s="64"/>
      <c r="H9" s="64"/>
      <c r="I9" s="64"/>
    </row>
    <row r="10" ht="14" customHeight="1">
      <c r="A10" s="191"/>
      <c r="B10" s="238"/>
      <c r="C10" s="193"/>
      <c r="D10" t="s" s="544">
        <v>258</v>
      </c>
      <c r="E10" s="545" cm="1">
        <f t="array" ref="E10">900000*0.02</f>
        <v>18000</v>
      </c>
      <c r="F10" s="64"/>
      <c r="G10" s="64"/>
      <c r="H10" s="64"/>
      <c r="I10" s="64"/>
    </row>
    <row r="11" ht="14" customHeight="1">
      <c r="A11" s="191"/>
      <c r="B11" s="547"/>
      <c r="C11" s="548"/>
      <c r="D11" s="549"/>
      <c r="E11" s="550"/>
      <c r="F11" s="64"/>
      <c r="G11" s="64"/>
      <c r="H11" s="64"/>
      <c r="I11" s="64"/>
    </row>
    <row r="12" ht="14" customHeight="1">
      <c r="A12" s="191"/>
      <c r="B12" s="551"/>
      <c r="C12" s="552"/>
      <c r="D12" t="s" s="553">
        <v>259</v>
      </c>
      <c r="E12" s="554" cm="1">
        <f t="array" ref="E12">SUM(E7:E11)</f>
        <v>40980</v>
      </c>
      <c r="F12" s="64"/>
      <c r="G12" s="64"/>
      <c r="H12" s="64"/>
      <c r="I12" s="64"/>
    </row>
    <row r="13" ht="14" customHeight="1">
      <c r="A13" s="191"/>
      <c r="B13" s="555"/>
      <c r="C13" s="193"/>
      <c r="D13" s="556"/>
      <c r="E13" s="557"/>
      <c r="F13" s="64"/>
      <c r="G13" s="64"/>
      <c r="H13" s="64"/>
      <c r="I13" s="64"/>
    </row>
    <row r="14" ht="14" customHeight="1">
      <c r="A14" t="s" s="240">
        <v>260</v>
      </c>
      <c r="B14" s="558"/>
      <c r="C14" s="242"/>
      <c r="D14" s="559"/>
      <c r="E14" s="560"/>
      <c r="F14" s="64"/>
      <c r="G14" s="64"/>
      <c r="H14" s="64"/>
      <c r="I14" s="64"/>
    </row>
    <row r="15" ht="14" customHeight="1">
      <c r="A15" s="540"/>
      <c r="B15" s="541"/>
      <c r="C15" s="247"/>
      <c r="D15" s="561"/>
      <c r="E15" s="561"/>
      <c r="F15" s="64"/>
      <c r="G15" s="64"/>
      <c r="H15" s="64"/>
      <c r="I15" s="64"/>
    </row>
    <row r="16" ht="14" customHeight="1">
      <c r="A16" s="191"/>
      <c r="B16" s="562"/>
      <c r="C16" s="563"/>
      <c r="D16" t="s" s="564">
        <v>261</v>
      </c>
      <c r="E16" s="565" cm="1">
        <f t="array" ref="E16">'BUDGET'!E177</f>
        <v>1225964.336995</v>
      </c>
      <c r="F16" s="188"/>
      <c r="G16" s="188"/>
      <c r="H16" s="188"/>
      <c r="I16" s="188"/>
    </row>
    <row r="17" ht="14" customHeight="1">
      <c r="A17" s="191"/>
      <c r="B17" s="555"/>
      <c r="C17" s="193"/>
      <c r="D17" s="556"/>
      <c r="E17" s="566"/>
      <c r="F17" s="188"/>
      <c r="G17" s="188"/>
      <c r="H17" s="188"/>
      <c r="I17" s="188"/>
    </row>
    <row r="18" ht="14" customHeight="1">
      <c r="A18" s="191"/>
      <c r="B18" s="555"/>
      <c r="C18" s="193"/>
      <c r="D18" t="s" s="564">
        <v>262</v>
      </c>
      <c r="E18" s="566" cm="1">
        <f t="array" ref="E18">'BUDGET'!E179</f>
        <v>1026261.62037804</v>
      </c>
      <c r="F18" s="188"/>
      <c r="G18" s="188"/>
      <c r="H18" s="188"/>
      <c r="I18" s="188"/>
    </row>
    <row r="19" ht="14" customHeight="1">
      <c r="A19" s="191"/>
      <c r="B19" s="555"/>
      <c r="C19" s="193"/>
      <c r="D19" s="556"/>
      <c r="E19" s="566"/>
      <c r="F19" s="188"/>
      <c r="G19" s="188"/>
      <c r="H19" s="188"/>
      <c r="I19" s="188"/>
    </row>
    <row r="20" ht="14" customHeight="1">
      <c r="A20" t="s" s="240">
        <v>263</v>
      </c>
      <c r="B20" s="558"/>
      <c r="C20" s="242"/>
      <c r="D20" s="559"/>
      <c r="E20" s="567"/>
      <c r="F20" s="188"/>
      <c r="G20" s="188"/>
      <c r="H20" s="188"/>
      <c r="I20" s="188"/>
    </row>
    <row r="21" ht="14" customHeight="1">
      <c r="A21" s="540"/>
      <c r="B21" s="568"/>
      <c r="C21" s="247"/>
      <c r="D21" s="561"/>
      <c r="E21" s="561"/>
      <c r="F21" s="64"/>
      <c r="G21" s="64"/>
      <c r="H21" s="64"/>
      <c r="I21" s="64"/>
    </row>
    <row r="22" ht="14" customHeight="1">
      <c r="A22" s="191"/>
      <c r="B22" s="555"/>
      <c r="C22" s="193"/>
      <c r="D22" t="s" s="544">
        <v>264</v>
      </c>
      <c r="E22" s="565" cm="1">
        <f t="array" ref="E22">E12</f>
        <v>40980</v>
      </c>
      <c r="F22" s="188"/>
      <c r="G22" s="188"/>
      <c r="H22" s="188"/>
      <c r="I22" s="188"/>
    </row>
    <row r="23" ht="14" customHeight="1">
      <c r="A23" s="191"/>
      <c r="B23" s="569"/>
      <c r="C23" s="548"/>
      <c r="D23" t="s" s="570">
        <v>265</v>
      </c>
      <c r="E23" s="571" cm="1">
        <f t="array" ref="E23">E16</f>
        <v>1225964.336995</v>
      </c>
      <c r="F23" s="188"/>
      <c r="G23" s="188"/>
      <c r="H23" s="188"/>
      <c r="I23" s="188"/>
    </row>
    <row r="24" ht="14" customHeight="1">
      <c r="A24" s="191"/>
      <c r="B24" s="551"/>
      <c r="C24" s="552"/>
      <c r="D24" t="s" s="553">
        <v>266</v>
      </c>
      <c r="E24" s="554" cm="1">
        <f t="array" ref="E24">SUM(E22:E23)</f>
        <v>1266944.336995</v>
      </c>
      <c r="F24" s="64"/>
      <c r="G24" s="64"/>
      <c r="H24" s="64"/>
      <c r="I24" s="64"/>
    </row>
    <row r="25" ht="14" customHeight="1">
      <c r="A25" s="191"/>
      <c r="B25" s="555"/>
      <c r="C25" s="193"/>
      <c r="D25" s="556"/>
      <c r="E25" s="566"/>
      <c r="F25" s="188"/>
      <c r="G25" s="188"/>
      <c r="H25" s="188"/>
      <c r="I25" s="188"/>
    </row>
    <row r="26" ht="14" customHeight="1">
      <c r="A26" s="191"/>
      <c r="B26" s="256"/>
      <c r="C26" s="213"/>
      <c r="D26" t="s" s="564">
        <v>267</v>
      </c>
      <c r="E26" s="566" cm="1">
        <f t="array" ref="E26">E18+E22</f>
        <v>1067241.62037804</v>
      </c>
      <c r="F26" s="188"/>
      <c r="G26" s="188"/>
      <c r="H26" s="188"/>
      <c r="I26" s="188"/>
    </row>
  </sheetData>
  <pageMargins left="1" right="1" top="1" bottom="1" header="0.75" footer="0.666667"/>
  <pageSetup firstPageNumber="1" fitToHeight="1" fitToWidth="1" scale="100" useFirstPageNumber="0" orientation="portrait" pageOrder="downThenOver"/>
  <headerFooter>
    <oddHeader>&amp;C&amp;"Calibri,Italic"&amp;12&amp;U&amp;K000000Schematic Design Budget 1 
&amp;UDesign and Construction Services Summary</oddHeader>
    <oddFooter>&amp;L&amp;"Moon 2.0 Regular,Regular"&amp;9&amp;K000000MARPA&amp;"Gill Sans Light,Regular"
03.20.26&amp;R&amp;"Gill Sans,Regular"&amp;8&amp;K000000
&amp;P</oddFooter>
  </headerFooter>
  <drawing r:id="rId1"/>
</worksheet>
</file>

<file path=xl/worksheets/sheet5.xml><?xml version="1.0" encoding="utf-8"?>
<worksheet xmlns:r="http://schemas.openxmlformats.org/officeDocument/2006/relationships" xmlns="http://schemas.openxmlformats.org/spreadsheetml/2006/main">
  <sheetPr>
    <pageSetUpPr fitToPage="1"/>
  </sheetPr>
  <dimension ref="A1:E12"/>
  <sheetViews>
    <sheetView workbookViewId="0" showGridLines="0" defaultGridColor="1"/>
  </sheetViews>
  <sheetFormatPr defaultColWidth="10.8333" defaultRowHeight="11.05" customHeight="1" outlineLevelRow="0" outlineLevelCol="0"/>
  <cols>
    <col min="1" max="1" width="48.2578" style="572" customWidth="1"/>
    <col min="2" max="2" width="3.67188" style="572" customWidth="1"/>
    <col min="3" max="3" width="4.5" style="572" customWidth="1"/>
    <col min="4" max="4" width="9.46094" style="572" customWidth="1"/>
    <col min="5" max="5" width="10.1719" style="572" customWidth="1"/>
    <col min="6" max="16384" width="10.8516" style="572" customWidth="1"/>
  </cols>
  <sheetData>
    <row r="1" ht="18" customHeight="1">
      <c r="A1" t="s" s="7">
        <v>6</v>
      </c>
      <c r="B1" s="8"/>
      <c r="C1" s="9"/>
      <c r="D1" s="10"/>
      <c r="E1" s="10"/>
    </row>
    <row r="2" ht="18" customHeight="1">
      <c r="A2" t="s" s="11">
        <v>268</v>
      </c>
      <c r="B2" s="8"/>
      <c r="C2" s="9"/>
      <c r="D2" s="10"/>
      <c r="E2" s="10"/>
    </row>
    <row r="3" ht="14" customHeight="1">
      <c r="A3" t="s" s="11">
        <v>8</v>
      </c>
      <c r="B3" s="8"/>
      <c r="C3" s="9"/>
      <c r="D3" s="10"/>
      <c r="E3" s="10"/>
    </row>
    <row r="4" ht="14" customHeight="1">
      <c r="A4" s="573"/>
      <c r="B4" s="8"/>
      <c r="C4" s="9"/>
      <c r="D4" s="10"/>
      <c r="E4" s="10"/>
    </row>
    <row r="5" ht="14" customHeight="1">
      <c r="A5" s="17"/>
      <c r="B5" s="18"/>
      <c r="C5" s="19"/>
      <c r="D5" s="20"/>
      <c r="E5" s="20"/>
    </row>
    <row r="6" ht="14" customHeight="1">
      <c r="A6" t="s" s="574">
        <v>269</v>
      </c>
      <c r="B6" s="575"/>
      <c r="C6" s="576"/>
      <c r="D6" s="577"/>
      <c r="E6" s="577"/>
    </row>
    <row r="7" ht="26.2" customHeight="1">
      <c r="A7" t="s" s="578">
        <v>270</v>
      </c>
      <c r="B7" s="247"/>
      <c r="C7" s="247"/>
      <c r="D7" s="247"/>
      <c r="E7" s="247"/>
    </row>
    <row r="8" ht="14" customHeight="1">
      <c r="A8" s="132"/>
      <c r="B8" s="193"/>
      <c r="C8" s="193"/>
      <c r="D8" s="193"/>
      <c r="E8" s="193"/>
    </row>
    <row r="9" ht="14" customHeight="1">
      <c r="A9" t="s" s="579">
        <v>199</v>
      </c>
      <c r="B9" s="575"/>
      <c r="C9" s="576"/>
      <c r="D9" s="577"/>
      <c r="E9" s="577"/>
    </row>
    <row r="10" ht="429.2" customHeight="1">
      <c r="A10" t="s" s="580">
        <v>271</v>
      </c>
      <c r="B10" s="581"/>
      <c r="C10" s="581"/>
      <c r="D10" s="581"/>
      <c r="E10" s="581"/>
    </row>
    <row r="11" ht="14" customHeight="1">
      <c r="A11" s="582"/>
      <c r="B11" s="582"/>
      <c r="C11" s="582"/>
      <c r="D11" s="582"/>
      <c r="E11" s="582"/>
    </row>
    <row r="12" ht="14" customHeight="1">
      <c r="A12" s="582"/>
      <c r="B12" s="582"/>
      <c r="C12" s="582"/>
      <c r="D12" s="582"/>
      <c r="E12" s="582"/>
    </row>
  </sheetData>
  <mergeCells count="2">
    <mergeCell ref="A10:E10"/>
    <mergeCell ref="A7:E7"/>
  </mergeCells>
  <pageMargins left="1" right="1" top="1" bottom="1" header="0.75" footer="0.666667"/>
  <pageSetup firstPageNumber="1" fitToHeight="1" fitToWidth="1" scale="100" useFirstPageNumber="0" orientation="portrait" pageOrder="downThenOver"/>
  <headerFooter>
    <oddHeader>&amp;C&amp;"Calibri,Italic"&amp;12&amp;U&amp;K000000Schematic Design Budget 1 
&amp;UNotes</oddHeader>
    <oddFooter>&amp;L&amp;"Moon 2.0 Regular,Regular"&amp;9&amp;K000000MARPA&amp;"Gill Sans Light,Regular"
04.22.26&amp;R&amp;"Gill Sans,Regular"&amp;8&amp;K000000
&amp;P</oddFooter>
  </headerFooter>
  <drawing r:id="rId1"/>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